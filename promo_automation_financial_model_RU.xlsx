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ReadMe" sheetId="1" state="visible" r:id="rId3"/>
    <sheet name="Inputs" sheetId="2" state="visible" r:id="rId4"/>
    <sheet name="Calc_Pess" sheetId="3" state="visible" r:id="rId5"/>
    <sheet name="Calc_Base" sheetId="4" state="visible" r:id="rId6"/>
    <sheet name="Calc_Opt" sheetId="5" state="visible" r:id="rId7"/>
    <sheet name="Annual_Summary" sheetId="6" state="visible" r:id="rId8"/>
    <sheet name="Scenario_Compare" sheetId="7" state="visible" r:id="rId9"/>
    <sheet name="Dashboard" sheetId="8" state="visible" r:id="rId10"/>
    <sheet name="Model_Check" sheetId="9" state="visible" r:id="rId11"/>
    <sheet name="Sourc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<sst xmlns="http://schemas.openxmlformats.org/spreadsheetml/2006/main" count="406" uniqueCount="266">
  <si>
    <t xml:space="preserve">Финансовая модель — Promo Automation (Efes Kazakhstan)</t>
  </si>
  <si>
    <t xml:space="preserve">Назначение</t>
  </si>
  <si>
    <t xml:space="preserve">Внутренний бизнес-кейс (ROI) платформы автоматизации промо-активностей и компенсаций. Не модель выручки: считаются реальная экономия и снятые риски, а не рыночные оценки.</t>
  </si>
  <si>
    <t xml:space="preserve">Логика</t>
  </si>
  <si>
    <t xml:space="preserve">Inputs (Вводные) → 3 расчётных листа по сценариям (Calc_Pess / Calc_Base / Calc_Opt) → Annual_Summary (активный) → Scenario_Compare → Dashboard. Model_Check — аудит. Sources — источники.</t>
  </si>
  <si>
    <t xml:space="preserve">Как пользоваться</t>
  </si>
  <si>
    <t xml:space="preserve">Редактируйте только цветные ячейки на листе Inputs. Переключатель «Активный сценарий» (Inputs!B4) меняет, какой сценарий показывают Annual_Summary и Dashboard. Каждый сценарий настраивается отдельно своими колонками.</t>
  </si>
  <si>
    <t xml:space="preserve">Сценарии</t>
  </si>
  <si>
    <t xml:space="preserve">Пессимистичный / Реалистичный / Оптимистичный — независимые наборы допущений (часы, база компенсаций, доля ошибок, затраты, скорость адаптии). Все три считаются всегда; сравнение — на листе Scenario_Compare.</t>
  </si>
  <si>
    <t xml:space="preserve">Охват</t>
  </si>
  <si>
    <t xml:space="preserve">Автоматизируются ТОЛЬКО промо-активности (N+1, кешбэк). Цикл компенсаций операторов и техников исключён из охвата.</t>
  </si>
  <si>
    <t xml:space="preserve">Выгоды</t>
  </si>
  <si>
    <t xml:space="preserve">(1) Экономия труда = число специалистов (5) × рабочих часов специалиста/мес (140) × доля автоматизации (≈35%) × стоимость часа × адаптия. Сэконом. часы постоянны по годам, разные по сценариям. (2) Снятый риск (прямые потери) = база × доля ошибок в ручной обработке (1%) × доля НЕВЫЯВЛЕННЫХ ошибок (Пессим 3% / Реалист 5% / Оптим 7%). Невыявленные = прямой невозвратный убыток (выявленные исправляются без потерь). Реалист.: труд ≈ ₸16,8 млн/год; риск растёт с базой (≈₸1,7→₸3,7 млн/год).</t>
  </si>
  <si>
    <t xml:space="preserve">Рост базы</t>
  </si>
  <si>
    <t xml:space="preserve">База компенсаций по промо берётся от факта 2025 (₸2,41 млрд; факт 2024 = ₸1,42 млрд, рост ≈ +69%) и растёт по сценарному годовому темпу (Пессим 30% / Реалист 45% / Оптим 65%). База по годам = (факт 2025) × (1+темп)^год. Факт 2025 и темпы редактируются на листе Inputs.</t>
  </si>
  <si>
    <t xml:space="preserve">Затраты</t>
  </si>
  <si>
    <t xml:space="preserve">Разовая разработка ₸5 млн (единая для всех сценариев) списывается в Месяц 1. Опер. расходы (хостинг, AI, поддержка ≈₸6 млн/год реалист.) — с месяца go-live.</t>
  </si>
  <si>
    <t xml:space="preserve">Адаптия</t>
  </si>
  <si>
    <t xml:space="preserve">Выгоды набираются линейно от go-live до 100% за заданное число месяцев (реалист. 6). Поэтому реализованная выгода Года 1 &lt; годового run-rate.</t>
  </si>
  <si>
    <t xml:space="preserve">Налоги</t>
  </si>
  <si>
    <t xml:space="preserve">Чистая выгода увеличивает прибыль и облагается КПН 20% (настраивается) с помесячным переносом убытка (разработка Месяца 1 создаёт щит).</t>
  </si>
  <si>
    <t xml:space="preserve">Окупаемость</t>
  </si>
  <si>
    <t xml:space="preserve">NPV и дисконт. окупаемость считаются по месячным денежным потокам при годовой ставке дисконтирования (Inputs!B10, по умолч. 15%). IRR при крошечных вложениях очень велик — ориентируйтесь на NPV, ROI и срок окупаемости.</t>
  </si>
  <si>
    <t xml:space="preserve">Цвета</t>
  </si>
  <si>
    <t xml:space="preserve">Синий шрифт на янтарном фоне = редактируемая вводная; чёрный = формула; зелёный = ссылка на другой лист.</t>
  </si>
  <si>
    <t xml:space="preserve">Оговорки</t>
  </si>
  <si>
    <t xml:space="preserve">Рост базы компенсаций по промо (Год 2–3) опирается на рост охвата (партнёры, SKU, точки) из презентации. «Всего часов на промо», доля автоматизации (35%) и доля ошибок (0,3%) — допущения; проверьте по факту. Стресс-тест — сценарий «Пессимистичный».</t>
  </si>
  <si>
    <t xml:space="preserve">Promo Automation — финансовая модель (Efes Kazakhstan) · внутренний бизнес-кейс · KZT</t>
  </si>
  <si>
    <t xml:space="preserve">Единый источник допущений. Редактируйте только ЦВЕТНЫЕ (синие на янтарном фоне) ячейки. Чёрный = формула, зелёный = ссылка на другой лист.</t>
  </si>
  <si>
    <t xml:space="preserve">ПЕРЕКЛЮЧАТЕЛЬ СЦЕНАРИЯ</t>
  </si>
  <si>
    <t xml:space="preserve">Активный сценарий</t>
  </si>
  <si>
    <t xml:space="preserve">Реалистичный</t>
  </si>
  <si>
    <t xml:space="preserve">← выберите: Пессимистичный / Реалистичный / Оптимистичный</t>
  </si>
  <si>
    <t xml:space="preserve">→ индекс активного сценария</t>
  </si>
  <si>
    <t xml:space="preserve">Пессимистичный</t>
  </si>
  <si>
    <t xml:space="preserve">Оптимистичный</t>
  </si>
  <si>
    <t xml:space="preserve">ГЛОБАЛЬНЫЕ ПАРАМЕТРЫ (едины для всех сценариев)</t>
  </si>
  <si>
    <t xml:space="preserve">Дата старта (Месяц 1)</t>
  </si>
  <si>
    <t xml:space="preserve">дата</t>
  </si>
  <si>
    <t xml:space="preserve">Месяц 1 = старт проекта</t>
  </si>
  <si>
    <t xml:space="preserve">Месяц выхода в эксплуатацию (go-live)</t>
  </si>
  <si>
    <t xml:space="preserve">№ мес</t>
  </si>
  <si>
    <t xml:space="preserve">Разработка — Месяц 1; выгоды и опер. расходы — с этого месяца</t>
  </si>
  <si>
    <t xml:space="preserve">Ставка дисконтирования (годовая)</t>
  </si>
  <si>
    <t xml:space="preserve">% / год</t>
  </si>
  <si>
    <t xml:space="preserve">Для NPV / дисконт. окупаемости</t>
  </si>
  <si>
    <t xml:space="preserve">Ставка налога на прибыль (КПН)</t>
  </si>
  <si>
    <t xml:space="preserve">%</t>
  </si>
  <si>
    <t xml:space="preserve">КПН РК; с переносом убытка</t>
  </si>
  <si>
    <t xml:space="preserve">Загруженная стоимость часа</t>
  </si>
  <si>
    <t xml:space="preserve">₸ / ч</t>
  </si>
  <si>
    <t xml:space="preserve">Источник: презентация (₸5 714/ч)</t>
  </si>
  <si>
    <t xml:space="preserve">Рабочих часов специалиста в месяц</t>
  </si>
  <si>
    <t xml:space="preserve">ч/мес</t>
  </si>
  <si>
    <t xml:space="preserve">Общая месячная загрузка одного специалиста</t>
  </si>
  <si>
    <t xml:space="preserve">Число специалистов (промо)</t>
  </si>
  <si>
    <t xml:space="preserve">чел.</t>
  </si>
  <si>
    <t xml:space="preserve">Чьё промо-время автоматизирует система. Сэконом. часы = число × часы × доля автоматизации</t>
  </si>
  <si>
    <t xml:space="preserve">База компенсаций по промо — 2024 (факт)</t>
  </si>
  <si>
    <t xml:space="preserve">₸</t>
  </si>
  <si>
    <t xml:space="preserve">Факт: компенсации по промо-активностям за 2024 г.</t>
  </si>
  <si>
    <t xml:space="preserve">База компенсаций по промо — 2025 (факт, база отсчёта)</t>
  </si>
  <si>
    <t xml:space="preserve">Факт за 2025 г.; от него растёт база по годам модели</t>
  </si>
  <si>
    <t xml:space="preserve">Историч. рост базы 2024→2025 (справочно)</t>
  </si>
  <si>
    <t xml:space="preserve">%/год</t>
  </si>
  <si>
    <t xml:space="preserve">≈ +69%; ориентир для сценарных темпов роста ниже</t>
  </si>
  <si>
    <t xml:space="preserve">Доля ошибок в ручной обработке (стабильно)</t>
  </si>
  <si>
    <t xml:space="preserve">% базы</t>
  </si>
  <si>
    <t xml:space="preserve">1% — расчётная доля ошибок в ручной обработке промо-компенсаций; стабильна по сценариям. Часть из них уходит без детекции (см. ниже)</t>
  </si>
  <si>
    <t xml:space="preserve">ДОПУЩЕНИЯ ПО СЦЕНАРИЯМ (каждый сценарий настраивается отдельно)</t>
  </si>
  <si>
    <t xml:space="preserve">ПЕССИМИСТИЧНЫЙ</t>
  </si>
  <si>
    <t xml:space="preserve">РЕАЛИСТИЧНЫЙ</t>
  </si>
  <si>
    <t xml:space="preserve">ОПТИМИСТИЧНЫЙ</t>
  </si>
  <si>
    <t xml:space="preserve">АКТИВНЫЙ (по переключателю)</t>
  </si>
  <si>
    <t xml:space="preserve">Показатель</t>
  </si>
  <si>
    <t xml:space="preserve">Ед.</t>
  </si>
  <si>
    <t xml:space="preserve">Год 1</t>
  </si>
  <si>
    <t xml:space="preserve">Год 2</t>
  </si>
  <si>
    <t xml:space="preserve">Год 3</t>
  </si>
  <si>
    <t xml:space="preserve">Примечание</t>
  </si>
  <si>
    <t xml:space="preserve">ВЫГОДЫ — ЭКОНОМИЯ РАБОЧЕГО ВРЕМЕНИ (промо-активности)</t>
  </si>
  <si>
    <t xml:space="preserve">Доля автоматизируемого времени</t>
  </si>
  <si>
    <t xml:space="preserve">% времени</t>
  </si>
  <si>
    <t xml:space="preserve">≈35% общего времени специалиста автоматизируется (реалист.). Сэконом. часы = число спец. × часы спец. × эта доля — постоянны по годам, разные по сценариям</t>
  </si>
  <si>
    <t xml:space="preserve">ВЫГОДЫ — СНИЖЕНИЕ РИСКА ОШИБОК (по промо-активностям)</t>
  </si>
  <si>
    <t xml:space="preserve">Годовой рост базы компенсаций</t>
  </si>
  <si>
    <t xml:space="preserve">Темп роста базы компенсаций по промо, свой для каждого сценария. Историч. 2024→2025 ≈ +69% (см. глоб. параметры)</t>
  </si>
  <si>
    <t xml:space="preserve">База компенсаций по промо в год (расчёт)</t>
  </si>
  <si>
    <t xml:space="preserve">₸/год</t>
  </si>
  <si>
    <t xml:space="preserve">Расчёт: факт 2025 × (1+рост)^год. Различие сценариев — через темп роста</t>
  </si>
  <si>
    <t xml:space="preserve">Доля невыявленных ошибок (прямой убыток)</t>
  </si>
  <si>
    <t xml:space="preserve">% от ошибок</t>
  </si>
  <si>
    <t xml:space="preserve">Доля ошибок, которые прошли мимо ручного контроля — это прямой невозвратный убыток (выявленные ошибки исправляются, без убытка). Сценарии Пессим/Реалист/Оптим = 3%/5%/7%. Прямой убыток = база × доля ошибок (1%) × эта доля</t>
  </si>
  <si>
    <t xml:space="preserve">ЗАТРАТЫ</t>
  </si>
  <si>
    <t xml:space="preserve">Стоимость разработки (разовая, Месяц 1)</t>
  </si>
  <si>
    <t xml:space="preserve">Списывается в Месяц 1. ₸5 млн — единая стоимость во всех сценариях (по указанию пользователя)</t>
  </si>
  <si>
    <t xml:space="preserve">Опер. расходы (хостинг, AI, поддержка)</t>
  </si>
  <si>
    <t xml:space="preserve">₸/мес</t>
  </si>
  <si>
    <t xml:space="preserve">Реалист. ≈ ₸6 млн/год. Начинаются с go-live</t>
  </si>
  <si>
    <t xml:space="preserve">ВНЕДРЕНИЕ / АДАПТАЦИЯ</t>
  </si>
  <si>
    <t xml:space="preserve">Выход на полную отдачу за</t>
  </si>
  <si>
    <t xml:space="preserve">мес</t>
  </si>
  <si>
    <t xml:space="preserve">Линейный набор выгод от go-live до 100%</t>
  </si>
  <si>
    <t xml:space="preserve">Логика: выгоды (экономия труда + снятый риск ошибок) набираются по кривой адаптии с момента go-live; база компенсаций растёт от факта 2025 по сценарному темпу; затраты = разовая разработка (Месяц 1) + опер. расходы. Чистая выгода облагается КПН (с переносом убытка). См. лист ReadMe.</t>
  </si>
  <si>
    <t xml:space="preserve">Расчёт · ПЕССИМИСТИЧНЫЙ сценарий</t>
  </si>
  <si>
    <t xml:space="preserve">Помесячный расчёт (36 мес). Денежные суммы — в ₸ (точные). Читает только колонки своего сценария с листа Inputs.</t>
  </si>
  <si>
    <t xml:space="preserve">Дата</t>
  </si>
  <si>
    <t xml:space="preserve">Год</t>
  </si>
  <si>
    <t xml:space="preserve">Мес в году</t>
  </si>
  <si>
    <t xml:space="preserve">Адаптация</t>
  </si>
  <si>
    <t xml:space="preserve">Сэкон. часов/мес</t>
  </si>
  <si>
    <t xml:space="preserve">Экономия труда</t>
  </si>
  <si>
    <t xml:space="preserve">База компенсаций</t>
  </si>
  <si>
    <t xml:space="preserve">Доля невыявл. ошибок</t>
  </si>
  <si>
    <t xml:space="preserve">Экономия от риска</t>
  </si>
  <si>
    <t xml:space="preserve">Итого выгоды</t>
  </si>
  <si>
    <t xml:space="preserve">Разработка</t>
  </si>
  <si>
    <t xml:space="preserve">Опер. расходы</t>
  </si>
  <si>
    <t xml:space="preserve">Итого затраты</t>
  </si>
  <si>
    <t xml:space="preserve">Прибыль до налога</t>
  </si>
  <si>
    <t xml:space="preserve">Перенос убытка (вх.)</t>
  </si>
  <si>
    <t xml:space="preserve">Налогооблагаемая</t>
  </si>
  <si>
    <t xml:space="preserve">Перенос убытка (исх.)</t>
  </si>
  <si>
    <t xml:space="preserve">Налог КПН</t>
  </si>
  <si>
    <t xml:space="preserve">Чистая выгода</t>
  </si>
  <si>
    <t xml:space="preserve">Накопл. чистая выгода</t>
  </si>
  <si>
    <t xml:space="preserve">Дисконт-фактор</t>
  </si>
  <si>
    <t xml:space="preserve">Дисконт. выгода</t>
  </si>
  <si>
    <t xml:space="preserve">Накопл. дисконт. выгода</t>
  </si>
  <si>
    <t xml:space="preserve">Окупаемость (флаг)</t>
  </si>
  <si>
    <t xml:space="preserve">Дисконт. окуп. (флаг)</t>
  </si>
  <si>
    <t xml:space="preserve">ИТОГИ ПО ГОДАМ И МЕТРИКИ ОКУПАЕМОСТИ</t>
  </si>
  <si>
    <t xml:space="preserve">Итого / Значение</t>
  </si>
  <si>
    <t xml:space="preserve">Выгоды (экономия), ₸</t>
  </si>
  <si>
    <t xml:space="preserve">Затраты (разработка + опер.), ₸</t>
  </si>
  <si>
    <t xml:space="preserve">Прибыль до налога, ₸</t>
  </si>
  <si>
    <t xml:space="preserve">Налог (КПН), ₸</t>
  </si>
  <si>
    <t xml:space="preserve">Чистая выгода (после налога), ₸</t>
  </si>
  <si>
    <t xml:space="preserve">Накопл. чистая выгода, ₸</t>
  </si>
  <si>
    <t xml:space="preserve">NPV при ставке диск., ₸</t>
  </si>
  <si>
    <t xml:space="preserve">IRR (годовая)</t>
  </si>
  <si>
    <t xml:space="preserve">Простая окупаемость, мес</t>
  </si>
  <si>
    <t xml:space="preserve">Дисконт. окупаемость, мес</t>
  </si>
  <si>
    <t xml:space="preserve">ROI за 3 года (чист.выгода/затраты)</t>
  </si>
  <si>
    <t xml:space="preserve">PV выгод, ₸</t>
  </si>
  <si>
    <t xml:space="preserve">PV затрат, ₸</t>
  </si>
  <si>
    <t xml:space="preserve">Выгода / затраты (BCR)</t>
  </si>
  <si>
    <t xml:space="preserve">Расчёт · РЕАЛИСТИЧНЫЙ сценарий</t>
  </si>
  <si>
    <t xml:space="preserve">Расчёт · ОПТИМИСТИЧНЫЙ сценарий</t>
  </si>
  <si>
    <t xml:space="preserve">Итоги по годам — активный сценарий</t>
  </si>
  <si>
    <t xml:space="preserve">Выгоды (экономия), ₸ млн</t>
  </si>
  <si>
    <t xml:space="preserve">Затраты (разработка + опер.), ₸ млн</t>
  </si>
  <si>
    <t xml:space="preserve">Прибыль до налога, ₸ млн</t>
  </si>
  <si>
    <t xml:space="preserve">Налог (КПН), ₸ млн</t>
  </si>
  <si>
    <t xml:space="preserve">Чистая выгода (после налога), ₸ млн</t>
  </si>
  <si>
    <t xml:space="preserve">Накопл. чистая выгода, ₸ млн</t>
  </si>
  <si>
    <t xml:space="preserve">NPV при ставке диск., ₸ млн</t>
  </si>
  <si>
    <t xml:space="preserve">PV выгод, ₸ млн</t>
  </si>
  <si>
    <t xml:space="preserve">PV затрат, ₸ млн</t>
  </si>
  <si>
    <t xml:space="preserve">Сравнение сценариев — ключевые итоги за 3 года</t>
  </si>
  <si>
    <t xml:space="preserve">Все три сценария рассчитаны независимо. Активный выбирается на листе Inputs. Денежные суммы — в ₸ млн.</t>
  </si>
  <si>
    <t xml:space="preserve">Выгоды за 3 года, ₸ млн</t>
  </si>
  <si>
    <t xml:space="preserve">Затраты за 3 года, ₸ млн</t>
  </si>
  <si>
    <t xml:space="preserve">Налог за 3 года, ₸ млн</t>
  </si>
  <si>
    <t xml:space="preserve">Чистая выгода за 3 года, ₸ млн</t>
  </si>
  <si>
    <t xml:space="preserve">Чистая выгода Год 1, ₸ млн</t>
  </si>
  <si>
    <t xml:space="preserve">Чистая выгода Год 2, ₸ млн</t>
  </si>
  <si>
    <t xml:space="preserve">Чистая выгода Год 3, ₸ млн</t>
  </si>
  <si>
    <t xml:space="preserve">NPV, ₸ млн</t>
  </si>
  <si>
    <t xml:space="preserve">ROI за 3 года</t>
  </si>
  <si>
    <t xml:space="preserve">Выгода/затраты (BCR)</t>
  </si>
  <si>
    <t xml:space="preserve">Promo Automation — дашборд бизнес-кейса</t>
  </si>
  <si>
    <t xml:space="preserve">Чистая выгода за 3 года (₸ млн)</t>
  </si>
  <si>
    <t xml:space="preserve">NPV (₸ млн)</t>
  </si>
  <si>
    <t xml:space="preserve">Простая окупаемость (мес)</t>
  </si>
  <si>
    <t xml:space="preserve">Дисконт. окупаемость (мес)</t>
  </si>
  <si>
    <t xml:space="preserve">Выгоды за 3 года (₸ млн)</t>
  </si>
  <si>
    <t xml:space="preserve">Затраты за 3 года (₸ млн)</t>
  </si>
  <si>
    <t xml:space="preserve">Чистая выгода Год 1 (₸ млн)</t>
  </si>
  <si>
    <t xml:space="preserve">Чистая выгода Год 2 (₸ млн)</t>
  </si>
  <si>
    <t xml:space="preserve">Чистая выгода Год 3 (₸ млн)</t>
  </si>
  <si>
    <t xml:space="preserve">Сравнение сценариев</t>
  </si>
  <si>
    <t xml:space="preserve">Пессим.</t>
  </si>
  <si>
    <t xml:space="preserve">Реалист.</t>
  </si>
  <si>
    <t xml:space="preserve">Оптим.</t>
  </si>
  <si>
    <t xml:space="preserve">Чистая выгода 3 года, ₸ млн</t>
  </si>
  <si>
    <t xml:space="preserve">ROI 3 года</t>
  </si>
  <si>
    <t xml:space="preserve">Простая окуп., мес</t>
  </si>
  <si>
    <t xml:space="preserve">Проверка модели / аудит</t>
  </si>
  <si>
    <t xml:space="preserve">Проверка</t>
  </si>
  <si>
    <t xml:space="preserve">Статус</t>
  </si>
  <si>
    <t xml:space="preserve">Комментарий</t>
  </si>
  <si>
    <t xml:space="preserve">Единый источник допущений</t>
  </si>
  <si>
    <t xml:space="preserve">OK</t>
  </si>
  <si>
    <t xml:space="preserve">Все расчёты читают лист Inputs</t>
  </si>
  <si>
    <t xml:space="preserve">Три сценария настраиваются отдельно</t>
  </si>
  <si>
    <t xml:space="preserve">Колонки Пессим/Реалист/Оптим на Inputs</t>
  </si>
  <si>
    <t xml:space="preserve">Переключатель сценария активен</t>
  </si>
  <si>
    <t xml:space="preserve">Annual_Summary и Dashboard следуют переключателю</t>
  </si>
  <si>
    <t xml:space="preserve">Чистая выгода за 3 года &gt; 0 (активный)</t>
  </si>
  <si>
    <t xml:space="preserve">Сумма чистой выгоды за 36 мес</t>
  </si>
  <si>
    <t xml:space="preserve">NPV &gt; 0 (активный)</t>
  </si>
  <si>
    <t xml:space="preserve">Дисконтированная чистая выгода</t>
  </si>
  <si>
    <t xml:space="preserve">Окупаемость в пределах горизонта</t>
  </si>
  <si>
    <t xml:space="preserve">Простая окупаемость</t>
  </si>
  <si>
    <t xml:space="preserve">Налог с переносом убытка</t>
  </si>
  <si>
    <t xml:space="preserve">Помесячный перенос убытка в каждом расчёте</t>
  </si>
  <si>
    <t xml:space="preserve">Выгоды до go-live = 0</t>
  </si>
  <si>
    <t xml:space="preserve">Месяц 1 — только разработка, выгод нет</t>
  </si>
  <si>
    <t xml:space="preserve">Компенсации операторов/техников исключены</t>
  </si>
  <si>
    <t xml:space="preserve">Охват: только промо-активности (N+1, кешбэк)</t>
  </si>
  <si>
    <t xml:space="preserve">Сэконом. часы постоянны по годам</t>
  </si>
  <si>
    <t xml:space="preserve">Часы = число спец. × 140 ч × доля автоматизации, без роста по годам</t>
  </si>
  <si>
    <t xml:space="preserve">Невыявленные ошибки устраняются (→ 0)</t>
  </si>
  <si>
    <t xml:space="preserve">Реалист. 5% невыявленных = прямой убыток ≈ ₸1,7-3,7 млн/год; с системой → 0</t>
  </si>
  <si>
    <t xml:space="preserve">База растёт от факта 2025</t>
  </si>
  <si>
    <t xml:space="preserve">База Год 1 = факт 2025 × (1+рост); далее компаундинг по сценарному темпу</t>
  </si>
  <si>
    <t xml:space="preserve">Все метрики — числа (нет ошибок)</t>
  </si>
  <si>
    <t xml:space="preserve">Грубая проверка отсутствия ошибок формул</t>
  </si>
  <si>
    <t xml:space="preserve">Реалист. Год 1 (справочно)</t>
  </si>
  <si>
    <t xml:space="preserve">Экономия труда постоянна; риск = 0,3% базы; реализация Года 1 ниже run-rate из-за адаптии</t>
  </si>
  <si>
    <t xml:space="preserve">Источники и примечания</t>
  </si>
  <si>
    <t xml:space="preserve">ID</t>
  </si>
  <si>
    <t xml:space="preserve">Допущение</t>
  </si>
  <si>
    <t xml:space="preserve">Источник</t>
  </si>
  <si>
    <t xml:space="preserve">Где используется</t>
  </si>
  <si>
    <t xml:space="preserve">SRC-01</t>
  </si>
  <si>
    <t xml:space="preserve">Экономия труда: 5 специалистов × 140 ч/мес × ~35% = ~245 ч/мес × ₸5 714/ч</t>
  </si>
  <si>
    <t xml:space="preserve">Указание пользователя (140 ч, 5 спец., 35%); ставка — презентация</t>
  </si>
  <si>
    <t xml:space="preserve">Inputs: число спец., часы спец., доля автоматизации, ставка</t>
  </si>
  <si>
    <t xml:space="preserve">SRC-02</t>
  </si>
  <si>
    <t xml:space="preserve">Снятый риск (прямые потери от ошибок): база × 1% (доля ошибок в ручной обработке) × доля невыявленных ошибок (Пессим 3% / Реалист 5% / Оптим 7%)</t>
  </si>
  <si>
    <t xml:space="preserve">Указание пользователя (1% ошибок стабильно; 3/5/7% невыявленных — прямой убыток)</t>
  </si>
  <si>
    <t xml:space="preserve">Inputs: доля ошибок (глоб.), доля невыявленных (по сценариям), база</t>
  </si>
  <si>
    <t xml:space="preserve">SRC-10</t>
  </si>
  <si>
    <t xml:space="preserve">База компенсаций по промо: факт 2024 = ₸1 424 716 484,62; факт 2025 = ₸2 407 121 106,10 (рост ≈ +69%)</t>
  </si>
  <si>
    <t xml:space="preserve">Фактические данные пользователя</t>
  </si>
  <si>
    <t xml:space="preserve">Inputs: база отсчёта 2025</t>
  </si>
  <si>
    <t xml:space="preserve">SRC-11</t>
  </si>
  <si>
    <t xml:space="preserve">Годовой рост базы по сценариям: Пессим 30% / Реалист 45% / Оптим 65% (умеренное замедление от историч. +69%)</t>
  </si>
  <si>
    <t xml:space="preserve">Указание пользователя</t>
  </si>
  <si>
    <t xml:space="preserve">Inputs: годовой рост базы; база = 2025 × (1+рост)^год</t>
  </si>
  <si>
    <t xml:space="preserve">SRC-03</t>
  </si>
  <si>
    <t xml:space="preserve">Компенсации операторов и техников ИСКЛЮЧЕНЫ из охвата</t>
  </si>
  <si>
    <t xml:space="preserve">Охват: только промо-активности</t>
  </si>
  <si>
    <t xml:space="preserve">SRC-04</t>
  </si>
  <si>
    <t xml:space="preserve">Рост масштаба: промо ×4,6; точки +40%; SKU +35%</t>
  </si>
  <si>
    <t xml:space="preserve">Презентация, слайд «Рост масштаба»</t>
  </si>
  <si>
    <t xml:space="preserve">Обоснование роста базы компенсаций Год 2–3</t>
  </si>
  <si>
    <t xml:space="preserve">SRC-05</t>
  </si>
  <si>
    <t xml:space="preserve">Стоимость разработки (разовая) = ₸5 млн; списать сразу</t>
  </si>
  <si>
    <t xml:space="preserve">Inputs: стоимость разработки</t>
  </si>
  <si>
    <t xml:space="preserve">SRC-06</t>
  </si>
  <si>
    <t xml:space="preserve">Опер. расходы ≈ ₸6 млн/год</t>
  </si>
  <si>
    <t xml:space="preserve">Inputs: опер. расходы</t>
  </si>
  <si>
    <t xml:space="preserve">SRC-07</t>
  </si>
  <si>
    <t xml:space="preserve">Go-live = Месяц 2; адаптия до 100% за 6 мес (реалист.)</t>
  </si>
  <si>
    <t xml:space="preserve">Inputs: go-live, адаптия</t>
  </si>
  <si>
    <t xml:space="preserve">SRC-08</t>
  </si>
  <si>
    <t xml:space="preserve">Налог КПН 20%; NPV/IRR при ставке 15%</t>
  </si>
  <si>
    <t xml:space="preserve">Указание пользователя + станд. учёт РК</t>
  </si>
  <si>
    <t xml:space="preserve">Inputs: КПН, ставка диск.</t>
  </si>
  <si>
    <t xml:space="preserve">SRC-09</t>
  </si>
  <si>
    <t xml:space="preserve">Спред сценариев: Пессим ≈70% выгод/+20% затрат; Оптим ≈115%/−10%</t>
  </si>
  <si>
    <t xml:space="preserve">Указание пользователя (умеренный спред)</t>
  </si>
  <si>
    <t xml:space="preserve">Inputs: колонки сценариев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</si>
</sst>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mmm\ yyyy"/>
    <numFmt numFmtId="167" formatCode="0.0%;[RED]\(0.0%\);\-"/>
    <numFmt numFmtId="168" formatCode="#,##0;[RED]\(#,##0\);\-"/>
    <numFmt numFmtId="169" formatCode="0.00%;[RED]\(0.00%\);\-"/>
    <numFmt numFmtId="170" formatCode="0%"/>
    <numFmt numFmtId="171" formatCode="0.000"/>
    <numFmt numFmtId="172" formatCode="0.00\x"/>
    <numFmt numFmtId="173" formatCode="#,##0.0,,;[RED]\(#,##0.0,,\);\-"/>
    <numFmt numFmtId="174" formatCode="[GREEN]#,##0.0,,;[RED]\(#,##0.0,,\);\-"/>
    <numFmt numFmtId="175" formatCode="[GREEN]0.0%;[RED]\(0.0%\);\-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1"/>
      <color rgb="FF808080"/>
      <name val="Calibri"/>
      <family val="0"/>
      <charset val="1"/>
    </font>
    <font>
      <b val="true"/>
      <sz val="11.5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70C0"/>
      <name val="Calibri"/>
      <family val="0"/>
      <charset val="1"/>
    </font>
    <font>
      <sz val="11"/>
      <color rgb="FF808080"/>
      <name val="Calibri"/>
      <family val="0"/>
      <charset val="1"/>
    </font>
    <font>
      <sz val="9"/>
      <color rgb="FF808080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8.5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2E75B6"/>
      <name val="Calibri"/>
      <family val="0"/>
      <charset val="1"/>
    </font>
    <font>
      <b val="true"/>
      <sz val="18"/>
      <color rgb="FF1F3864"/>
      <name val="Calibri"/>
      <family val="0"/>
      <charset val="1"/>
    </font>
    <font>
      <b val="true"/>
      <sz val="12"/>
      <color rgb="FF2E75B6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375623"/>
      <name val="Calibri"/>
      <family val="0"/>
      <charset val="1"/>
    </font>
    <font>
      <sz val="10"/>
      <color rgb="FF808080"/>
      <name val="Calibri"/>
      <family val="0"/>
      <charset val="1"/>
    </font>
    <font>
      <sz val="10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0070C0"/>
      </patternFill>
    </fill>
    <fill>
      <patternFill patternType="solid">
        <fgColor rgb="FFFFF8E1"/>
        <bgColor rgb="FFF2F2F2"/>
      </patternFill>
    </fill>
    <fill>
      <patternFill patternType="solid">
        <fgColor rgb="FFC0504D"/>
        <bgColor rgb="FF993366"/>
      </patternFill>
    </fill>
    <fill>
      <patternFill patternType="solid">
        <fgColor rgb="FF375623"/>
        <bgColor rgb="FF333300"/>
      </patternFill>
    </fill>
    <fill>
      <patternFill patternType="solid">
        <fgColor rgb="FF1F3864"/>
        <bgColor rgb="FF333399"/>
      </patternFill>
    </fill>
    <fill>
      <patternFill patternType="solid">
        <fgColor rgb="FFD6E4F0"/>
        <bgColor rgb="FFF2F2F2"/>
      </patternFill>
    </fill>
    <fill>
      <patternFill patternType="solid">
        <fgColor rgb="FFF2F2F2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8E1"/>
      <rgbColor rgb="FFD6E4F0"/>
      <rgbColor rgb="FF660066"/>
      <rgbColor rgb="FFFF8080"/>
      <rgbColor rgb="FF0070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  <c r="B1" s="1"/>
    </row>
    <row r="3" customFormat="false" ht="45.75" hidden="false" customHeight="true" outlineLevel="0" collapsed="false">
      <c r="A3" s="2" t="s">
        <v>1</v>
      </c>
      <c r="B3" s="3" t="s">
        <v>2</v>
      </c>
    </row>
    <row r="4" customFormat="false" ht="45.75" hidden="false" customHeight="true" outlineLevel="0" collapsed="false">
      <c r="A4" s="2" t="s">
        <v>3</v>
      </c>
      <c r="B4" s="3" t="s">
        <v>4</v>
      </c>
    </row>
    <row r="5" customFormat="false" ht="45.75" hidden="false" customHeight="true" outlineLevel="0" collapsed="false">
      <c r="A5" s="2" t="s">
        <v>5</v>
      </c>
      <c r="B5" s="3" t="s">
        <v>6</v>
      </c>
    </row>
    <row r="6" customFormat="false" ht="45.75" hidden="false" customHeight="true" outlineLevel="0" collapsed="false">
      <c r="A6" s="2" t="s">
        <v>7</v>
      </c>
      <c r="B6" s="3" t="s">
        <v>8</v>
      </c>
    </row>
    <row r="7" customFormat="false" ht="45.75" hidden="false" customHeight="true" outlineLevel="0" collapsed="false">
      <c r="A7" s="2" t="s">
        <v>9</v>
      </c>
      <c r="B7" s="3" t="s">
        <v>10</v>
      </c>
    </row>
    <row r="8" customFormat="false" ht="45.75" hidden="false" customHeight="true" outlineLevel="0" collapsed="false">
      <c r="A8" s="2" t="s">
        <v>11</v>
      </c>
      <c r="B8" s="3" t="s">
        <v>12</v>
      </c>
    </row>
    <row r="9" customFormat="false" ht="45.75" hidden="false" customHeight="true" outlineLevel="0" collapsed="false">
      <c r="A9" s="2" t="s">
        <v>13</v>
      </c>
      <c r="B9" s="3" t="s">
        <v>14</v>
      </c>
    </row>
    <row r="10" customFormat="false" ht="45.75" hidden="false" customHeight="true" outlineLevel="0" collapsed="false">
      <c r="A10" s="2" t="s">
        <v>15</v>
      </c>
      <c r="B10" s="3" t="s">
        <v>16</v>
      </c>
    </row>
    <row r="11" customFormat="false" ht="45.75" hidden="false" customHeight="true" outlineLevel="0" collapsed="false">
      <c r="A11" s="2" t="s">
        <v>17</v>
      </c>
      <c r="B11" s="3" t="s">
        <v>18</v>
      </c>
    </row>
    <row r="12" customFormat="false" ht="45.75" hidden="false" customHeight="true" outlineLevel="0" collapsed="false">
      <c r="A12" s="2" t="s">
        <v>19</v>
      </c>
      <c r="B12" s="3" t="s">
        <v>20</v>
      </c>
    </row>
    <row r="13" customFormat="false" ht="45.75" hidden="false" customHeight="true" outlineLevel="0" collapsed="false">
      <c r="A13" s="2" t="s">
        <v>21</v>
      </c>
      <c r="B13" s="3" t="s">
        <v>22</v>
      </c>
    </row>
    <row r="14" customFormat="false" ht="45.75" hidden="false" customHeight="true" outlineLevel="0" collapsed="false">
      <c r="A14" s="2" t="s">
        <v>23</v>
      </c>
      <c r="B14" s="3" t="s">
        <v>24</v>
      </c>
    </row>
    <row r="15" customFormat="false" ht="45.75" hidden="false" customHeight="true" outlineLevel="0" collapsed="false">
      <c r="A15" s="2" t="s">
        <v>25</v>
      </c>
      <c r="B15" s="3" t="s">
        <v>26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14" min="3" style="0" width="12"/>
    <col collapsed="false" customWidth="true" hidden="false" outlineLevel="0" max="15" min="15" style="0" width="46"/>
  </cols>
  <sheetData>
    <row r="1" customFormat="false" ht="25.5" hidden="false" customHeight="true" outlineLevel="0" collapsed="false">
      <c r="A1" s="4" t="s">
        <v>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customFormat="false" ht="15" hidden="false" customHeight="false" outlineLevel="0" collapsed="false">
      <c r="A2" s="5" t="s">
        <v>28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customFormat="false" ht="19.5" hidden="false" customHeight="true" outlineLevel="0" collapsed="false">
      <c r="A3" s="6" t="s">
        <v>29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customFormat="false" ht="15" hidden="false" customHeight="false" outlineLevel="0" collapsed="false">
      <c r="A4" s="7" t="s">
        <v>30</v>
      </c>
      <c r="B4" s="8" t="s">
        <v>31</v>
      </c>
      <c r="D4" s="9" t="s">
        <v>32</v>
      </c>
    </row>
    <row r="5" customFormat="false" ht="15" hidden="false" customHeight="false" outlineLevel="0" collapsed="false">
      <c r="A5" s="10" t="s">
        <v>33</v>
      </c>
      <c r="B5" s="11" t="n">
        <f aca="false">MATCH(B4,C5:E5,0)</f>
        <v>2</v>
      </c>
      <c r="C5" s="12" t="s">
        <v>34</v>
      </c>
      <c r="D5" s="12" t="s">
        <v>31</v>
      </c>
      <c r="E5" s="12" t="s">
        <v>35</v>
      </c>
    </row>
    <row r="7" customFormat="false" ht="19.5" hidden="false" customHeight="true" outlineLevel="0" collapsed="false">
      <c r="A7" s="6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customFormat="false" ht="15" hidden="false" customHeight="false" outlineLevel="0" collapsed="false">
      <c r="A8" s="13" t="s">
        <v>37</v>
      </c>
      <c r="B8" s="14" t="n">
        <v>46174</v>
      </c>
      <c r="C8" s="15" t="s">
        <v>38</v>
      </c>
      <c r="O8" s="16" t="s">
        <v>39</v>
      </c>
    </row>
    <row r="9" customFormat="false" ht="23.85" hidden="false" customHeight="false" outlineLevel="0" collapsed="false">
      <c r="A9" s="13" t="s">
        <v>40</v>
      </c>
      <c r="B9" s="17" t="n">
        <v>2</v>
      </c>
      <c r="C9" s="15" t="s">
        <v>41</v>
      </c>
      <c r="O9" s="16" t="s">
        <v>42</v>
      </c>
    </row>
    <row r="10" customFormat="false" ht="15" hidden="false" customHeight="false" outlineLevel="0" collapsed="false">
      <c r="A10" s="13" t="s">
        <v>43</v>
      </c>
      <c r="B10" s="18" t="n">
        <v>0.15</v>
      </c>
      <c r="C10" s="15" t="s">
        <v>44</v>
      </c>
      <c r="O10" s="16" t="s">
        <v>45</v>
      </c>
    </row>
    <row r="11" customFormat="false" ht="15" hidden="false" customHeight="false" outlineLevel="0" collapsed="false">
      <c r="A11" s="13" t="s">
        <v>46</v>
      </c>
      <c r="B11" s="18" t="n">
        <v>0.2</v>
      </c>
      <c r="C11" s="15" t="s">
        <v>47</v>
      </c>
      <c r="O11" s="16" t="s">
        <v>48</v>
      </c>
    </row>
    <row r="12" customFormat="false" ht="15" hidden="false" customHeight="false" outlineLevel="0" collapsed="false">
      <c r="A12" s="13" t="s">
        <v>49</v>
      </c>
      <c r="B12" s="19" t="n">
        <v>5714</v>
      </c>
      <c r="C12" s="15" t="s">
        <v>50</v>
      </c>
      <c r="O12" s="16" t="s">
        <v>51</v>
      </c>
    </row>
    <row r="13" customFormat="false" ht="15" hidden="false" customHeight="false" outlineLevel="0" collapsed="false">
      <c r="A13" s="13" t="s">
        <v>52</v>
      </c>
      <c r="B13" s="19" t="n">
        <v>140</v>
      </c>
      <c r="C13" s="15" t="s">
        <v>53</v>
      </c>
      <c r="O13" s="16" t="s">
        <v>54</v>
      </c>
    </row>
    <row r="14" customFormat="false" ht="35.05" hidden="false" customHeight="false" outlineLevel="0" collapsed="false">
      <c r="A14" s="13" t="s">
        <v>55</v>
      </c>
      <c r="B14" s="19" t="n">
        <v>5</v>
      </c>
      <c r="C14" s="15" t="s">
        <v>56</v>
      </c>
      <c r="O14" s="16" t="s">
        <v>57</v>
      </c>
    </row>
    <row r="15" customFormat="false" ht="23.85" hidden="false" customHeight="false" outlineLevel="0" collapsed="false">
      <c r="A15" s="13" t="s">
        <v>58</v>
      </c>
      <c r="B15" s="19" t="n">
        <v>1424716484.62</v>
      </c>
      <c r="C15" s="15" t="s">
        <v>59</v>
      </c>
      <c r="O15" s="16" t="s">
        <v>60</v>
      </c>
    </row>
    <row r="16" customFormat="false" ht="23.85" hidden="false" customHeight="false" outlineLevel="0" collapsed="false">
      <c r="A16" s="13" t="s">
        <v>61</v>
      </c>
      <c r="B16" s="19" t="n">
        <v>2407121106.1</v>
      </c>
      <c r="C16" s="15" t="s">
        <v>59</v>
      </c>
      <c r="O16" s="16" t="s">
        <v>62</v>
      </c>
    </row>
    <row r="17" customFormat="false" ht="23.85" hidden="false" customHeight="false" outlineLevel="0" collapsed="false">
      <c r="A17" s="13" t="s">
        <v>63</v>
      </c>
      <c r="B17" s="20" t="n">
        <f aca="false">B16/B15-1</f>
        <v>0.689543942310759</v>
      </c>
      <c r="C17" s="15" t="s">
        <v>64</v>
      </c>
      <c r="O17" s="16" t="s">
        <v>65</v>
      </c>
    </row>
    <row r="18" customFormat="false" ht="46.25" hidden="false" customHeight="false" outlineLevel="0" collapsed="false">
      <c r="A18" s="13" t="s">
        <v>66</v>
      </c>
      <c r="B18" s="21" t="n">
        <v>0.01</v>
      </c>
      <c r="C18" s="15" t="s">
        <v>67</v>
      </c>
      <c r="O18" s="16" t="s">
        <v>68</v>
      </c>
    </row>
    <row r="19" customFormat="false" ht="19.5" hidden="false" customHeight="true" outlineLevel="0" collapsed="false">
      <c r="A19" s="6" t="s">
        <v>69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5" hidden="false" customHeight="false" outlineLevel="0" collapsed="false">
      <c r="C20" s="22" t="s">
        <v>70</v>
      </c>
      <c r="D20" s="22"/>
      <c r="E20" s="22"/>
      <c r="F20" s="23" t="s">
        <v>71</v>
      </c>
      <c r="G20" s="23"/>
      <c r="H20" s="23"/>
      <c r="I20" s="24" t="s">
        <v>72</v>
      </c>
      <c r="J20" s="24"/>
      <c r="K20" s="24"/>
      <c r="L20" s="25" t="s">
        <v>73</v>
      </c>
      <c r="M20" s="25"/>
      <c r="N20" s="25"/>
    </row>
    <row r="21" customFormat="false" ht="21.75" hidden="false" customHeight="true" outlineLevel="0" collapsed="false">
      <c r="A21" s="26" t="s">
        <v>74</v>
      </c>
      <c r="B21" s="26" t="s">
        <v>75</v>
      </c>
      <c r="C21" s="26" t="s">
        <v>76</v>
      </c>
      <c r="D21" s="26" t="s">
        <v>77</v>
      </c>
      <c r="E21" s="26" t="s">
        <v>78</v>
      </c>
      <c r="F21" s="26" t="s">
        <v>76</v>
      </c>
      <c r="G21" s="26" t="s">
        <v>77</v>
      </c>
      <c r="H21" s="26" t="s">
        <v>78</v>
      </c>
      <c r="I21" s="26" t="s">
        <v>76</v>
      </c>
      <c r="J21" s="26" t="s">
        <v>77</v>
      </c>
      <c r="K21" s="26" t="s">
        <v>78</v>
      </c>
      <c r="L21" s="26" t="s">
        <v>76</v>
      </c>
      <c r="M21" s="26" t="s">
        <v>77</v>
      </c>
      <c r="N21" s="26" t="s">
        <v>78</v>
      </c>
      <c r="O21" s="26" t="s">
        <v>79</v>
      </c>
    </row>
    <row r="22" customFormat="false" ht="15" hidden="false" customHeight="false" outlineLevel="0" collapsed="false">
      <c r="A22" s="27" t="s">
        <v>80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customFormat="false" ht="15" hidden="false" customHeight="true" outlineLevel="0" collapsed="false">
      <c r="A23" s="13" t="s">
        <v>81</v>
      </c>
      <c r="B23" s="28" t="s">
        <v>82</v>
      </c>
      <c r="C23" s="18" t="n">
        <v>0.3</v>
      </c>
      <c r="D23" s="29"/>
      <c r="E23" s="29"/>
      <c r="F23" s="18" t="n">
        <v>0.35</v>
      </c>
      <c r="G23" s="29"/>
      <c r="H23" s="29"/>
      <c r="I23" s="18" t="n">
        <v>0.4</v>
      </c>
      <c r="J23" s="29"/>
      <c r="K23" s="29"/>
      <c r="L23" s="20" t="n">
        <f aca="false">CHOOSE($B$5,C23,F23,I23)</f>
        <v>0.35</v>
      </c>
      <c r="M23" s="29"/>
      <c r="N23" s="29"/>
      <c r="O23" s="30" t="s">
        <v>83</v>
      </c>
    </row>
    <row r="24" customFormat="false" ht="15" hidden="false" customHeight="false" outlineLevel="0" collapsed="false">
      <c r="A24" s="27" t="s">
        <v>84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customFormat="false" ht="15" hidden="false" customHeight="true" outlineLevel="0" collapsed="false">
      <c r="A25" s="13" t="s">
        <v>85</v>
      </c>
      <c r="B25" s="28" t="s">
        <v>64</v>
      </c>
      <c r="C25" s="18" t="n">
        <v>0.3</v>
      </c>
      <c r="D25" s="29"/>
      <c r="E25" s="29"/>
      <c r="F25" s="18" t="n">
        <v>0.45</v>
      </c>
      <c r="G25" s="29"/>
      <c r="H25" s="29"/>
      <c r="I25" s="18" t="n">
        <v>0.65</v>
      </c>
      <c r="J25" s="29"/>
      <c r="K25" s="29"/>
      <c r="L25" s="20" t="n">
        <f aca="false">CHOOSE($B$5,C25,F25,I25)</f>
        <v>0.45</v>
      </c>
      <c r="M25" s="29"/>
      <c r="N25" s="29"/>
      <c r="O25" s="30" t="s">
        <v>86</v>
      </c>
    </row>
    <row r="26" customFormat="false" ht="15" hidden="false" customHeight="true" outlineLevel="0" collapsed="false">
      <c r="A26" s="13" t="s">
        <v>87</v>
      </c>
      <c r="B26" s="28" t="s">
        <v>88</v>
      </c>
      <c r="C26" s="31" t="n">
        <f aca="false">$B$16*(1+C25)^1</f>
        <v>3129257437.93</v>
      </c>
      <c r="D26" s="31" t="n">
        <f aca="false">$B$16*(1+C25)^2</f>
        <v>4068034669.309</v>
      </c>
      <c r="E26" s="31" t="n">
        <f aca="false">$B$16*(1+C25)^3</f>
        <v>5288445070.1017</v>
      </c>
      <c r="F26" s="31" t="n">
        <f aca="false">$B$16*(1+F25)^1</f>
        <v>3490325603.845</v>
      </c>
      <c r="G26" s="31" t="n">
        <f aca="false">$B$16*(1+F25)^2</f>
        <v>5060972125.57525</v>
      </c>
      <c r="H26" s="31" t="n">
        <f aca="false">$B$16*(1+F25)^3</f>
        <v>7338409582.08411</v>
      </c>
      <c r="I26" s="31" t="n">
        <f aca="false">$B$16*(1+I25)^1</f>
        <v>3971749825.065</v>
      </c>
      <c r="J26" s="31" t="n">
        <f aca="false">$B$16*(1+I25)^2</f>
        <v>6553387211.35725</v>
      </c>
      <c r="K26" s="31" t="n">
        <f aca="false">$B$16*(1+I25)^3</f>
        <v>10813088898.7395</v>
      </c>
      <c r="L26" s="32" t="n">
        <f aca="false">CHOOSE($B$5,C26,F26,I26)</f>
        <v>3490325603.845</v>
      </c>
      <c r="M26" s="32" t="n">
        <f aca="false">CHOOSE($B$5,D26,G26,J26)</f>
        <v>5060972125.57525</v>
      </c>
      <c r="N26" s="32" t="n">
        <f aca="false">CHOOSE($B$5,E26,H26,K26)</f>
        <v>7338409582.08411</v>
      </c>
      <c r="O26" s="30" t="s">
        <v>89</v>
      </c>
    </row>
    <row r="27" customFormat="false" ht="15" hidden="false" customHeight="true" outlineLevel="0" collapsed="false">
      <c r="A27" s="13" t="s">
        <v>90</v>
      </c>
      <c r="B27" s="28" t="s">
        <v>91</v>
      </c>
      <c r="C27" s="21" t="n">
        <v>0.03</v>
      </c>
      <c r="D27" s="21" t="n">
        <v>0.03</v>
      </c>
      <c r="E27" s="21" t="n">
        <v>0.03</v>
      </c>
      <c r="F27" s="21" t="n">
        <v>0.05</v>
      </c>
      <c r="G27" s="21" t="n">
        <v>0.05</v>
      </c>
      <c r="H27" s="21" t="n">
        <v>0.05</v>
      </c>
      <c r="I27" s="21" t="n">
        <v>0.07</v>
      </c>
      <c r="J27" s="21" t="n">
        <v>0.07</v>
      </c>
      <c r="K27" s="21" t="n">
        <v>0.07</v>
      </c>
      <c r="L27" s="33" t="n">
        <f aca="false">CHOOSE($B$5,C27,F27,I27)</f>
        <v>0.05</v>
      </c>
      <c r="M27" s="33" t="n">
        <f aca="false">CHOOSE($B$5,D27,G27,J27)</f>
        <v>0.05</v>
      </c>
      <c r="N27" s="33" t="n">
        <f aca="false">CHOOSE($B$5,E27,H27,K27)</f>
        <v>0.05</v>
      </c>
      <c r="O27" s="30" t="s">
        <v>92</v>
      </c>
    </row>
    <row r="28" customFormat="false" ht="15" hidden="false" customHeight="false" outlineLevel="0" collapsed="false">
      <c r="A28" s="27" t="s">
        <v>93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customFormat="false" ht="15" hidden="false" customHeight="true" outlineLevel="0" collapsed="false">
      <c r="A29" s="13" t="s">
        <v>94</v>
      </c>
      <c r="B29" s="28" t="s">
        <v>59</v>
      </c>
      <c r="C29" s="19" t="n">
        <v>5000000</v>
      </c>
      <c r="D29" s="29"/>
      <c r="E29" s="29"/>
      <c r="F29" s="19" t="n">
        <v>5000000</v>
      </c>
      <c r="G29" s="29"/>
      <c r="H29" s="29"/>
      <c r="I29" s="19" t="n">
        <v>5000000</v>
      </c>
      <c r="J29" s="29"/>
      <c r="K29" s="29"/>
      <c r="L29" s="32" t="n">
        <f aca="false">CHOOSE($B$5,C29,F29,I29)</f>
        <v>5000000</v>
      </c>
      <c r="M29" s="29"/>
      <c r="N29" s="29"/>
      <c r="O29" s="30" t="s">
        <v>95</v>
      </c>
    </row>
    <row r="30" customFormat="false" ht="15" hidden="false" customHeight="true" outlineLevel="0" collapsed="false">
      <c r="A30" s="13" t="s">
        <v>96</v>
      </c>
      <c r="B30" s="28" t="s">
        <v>97</v>
      </c>
      <c r="C30" s="19" t="n">
        <v>600000</v>
      </c>
      <c r="D30" s="19" t="n">
        <v>640000</v>
      </c>
      <c r="E30" s="19" t="n">
        <v>690000</v>
      </c>
      <c r="F30" s="19" t="n">
        <v>500000</v>
      </c>
      <c r="G30" s="19" t="n">
        <v>520000</v>
      </c>
      <c r="H30" s="19" t="n">
        <v>550000</v>
      </c>
      <c r="I30" s="19" t="n">
        <v>450000</v>
      </c>
      <c r="J30" s="19" t="n">
        <v>460000</v>
      </c>
      <c r="K30" s="19" t="n">
        <v>480000</v>
      </c>
      <c r="L30" s="32" t="n">
        <f aca="false">CHOOSE($B$5,C30,F30,I30)</f>
        <v>500000</v>
      </c>
      <c r="M30" s="32" t="n">
        <f aca="false">CHOOSE($B$5,D30,G30,J30)</f>
        <v>520000</v>
      </c>
      <c r="N30" s="32" t="n">
        <f aca="false">CHOOSE($B$5,E30,H30,K30)</f>
        <v>550000</v>
      </c>
      <c r="O30" s="30" t="s">
        <v>98</v>
      </c>
    </row>
    <row r="31" customFormat="false" ht="15" hidden="false" customHeight="false" outlineLevel="0" collapsed="false">
      <c r="A31" s="27" t="s">
        <v>99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customFormat="false" ht="15" hidden="false" customHeight="true" outlineLevel="0" collapsed="false">
      <c r="A32" s="13" t="s">
        <v>100</v>
      </c>
      <c r="B32" s="28" t="s">
        <v>101</v>
      </c>
      <c r="C32" s="17" t="n">
        <v>9</v>
      </c>
      <c r="D32" s="29"/>
      <c r="E32" s="29"/>
      <c r="F32" s="17" t="n">
        <v>6</v>
      </c>
      <c r="G32" s="29"/>
      <c r="H32" s="29"/>
      <c r="I32" s="17" t="n">
        <v>3</v>
      </c>
      <c r="J32" s="29"/>
      <c r="K32" s="29"/>
      <c r="L32" s="34" t="n">
        <f aca="false">CHOOSE($B$5,C32,F32,I32)</f>
        <v>6</v>
      </c>
      <c r="M32" s="29"/>
      <c r="N32" s="29"/>
      <c r="O32" s="30" t="s">
        <v>102</v>
      </c>
    </row>
    <row r="34" customFormat="false" ht="30" hidden="false" customHeight="true" outlineLevel="0" collapsed="false">
      <c r="A34" s="35" t="s">
        <v>103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</row>
  </sheetData>
  <mergeCells count="14">
    <mergeCell ref="A1:O1"/>
    <mergeCell ref="A2:O2"/>
    <mergeCell ref="A3:O3"/>
    <mergeCell ref="A7:O7"/>
    <mergeCell ref="A19:O19"/>
    <mergeCell ref="C20:E20"/>
    <mergeCell ref="F20:H20"/>
    <mergeCell ref="I20:K20"/>
    <mergeCell ref="L20:N20"/>
    <mergeCell ref="A22:O22"/>
    <mergeCell ref="A24:O24"/>
    <mergeCell ref="A28:O28"/>
    <mergeCell ref="A31:O31"/>
    <mergeCell ref="A34:O34"/>
  </mergeCells>
  <dataValidations count="1">
    <dataValidation allowBlank="false" errorStyle="stop" operator="between" showDropDown="false" showErrorMessage="false" showInputMessage="false" sqref="B4" type="list">
      <formula1>"Пессимистичный,Реалистичный,Оптимистичный"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4" min="3" style="0" width="10.51"/>
    <col collapsed="false" customWidth="true" hidden="false" outlineLevel="0" max="5" min="5" style="0" width="18"/>
    <col collapsed="false" customWidth="true" hidden="false" outlineLevel="0" max="26" min="6" style="0" width="10.51"/>
  </cols>
  <sheetData>
    <row r="1" customFormat="false" ht="17.35" hidden="false" customHeight="false" outlineLevel="0" collapsed="false">
      <c r="A1" s="36" t="s">
        <v>104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customFormat="false" ht="15" hidden="false" customHeight="false" outlineLevel="0" collapsed="false">
      <c r="A2" s="37" t="s">
        <v>105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customFormat="false" ht="30" hidden="false" customHeight="true" outlineLevel="0" collapsed="false">
      <c r="A3" s="38" t="s">
        <v>41</v>
      </c>
      <c r="B3" s="38" t="s">
        <v>106</v>
      </c>
      <c r="C3" s="38" t="s">
        <v>107</v>
      </c>
      <c r="D3" s="38" t="s">
        <v>108</v>
      </c>
      <c r="E3" s="38" t="s">
        <v>109</v>
      </c>
      <c r="F3" s="38" t="s">
        <v>110</v>
      </c>
      <c r="G3" s="38" t="s">
        <v>111</v>
      </c>
      <c r="H3" s="38" t="s">
        <v>112</v>
      </c>
      <c r="I3" s="38" t="s">
        <v>113</v>
      </c>
      <c r="J3" s="38" t="s">
        <v>114</v>
      </c>
      <c r="K3" s="38" t="s">
        <v>115</v>
      </c>
      <c r="L3" s="38" t="s">
        <v>116</v>
      </c>
      <c r="M3" s="38" t="s">
        <v>117</v>
      </c>
      <c r="N3" s="38" t="s">
        <v>118</v>
      </c>
      <c r="O3" s="38" t="s">
        <v>119</v>
      </c>
      <c r="P3" s="38" t="s">
        <v>120</v>
      </c>
      <c r="Q3" s="38" t="s">
        <v>121</v>
      </c>
      <c r="R3" s="38" t="s">
        <v>122</v>
      </c>
      <c r="S3" s="38" t="s">
        <v>123</v>
      </c>
      <c r="T3" s="38" t="s">
        <v>124</v>
      </c>
      <c r="U3" s="38" t="s">
        <v>125</v>
      </c>
      <c r="V3" s="38" t="s">
        <v>126</v>
      </c>
      <c r="W3" s="38" t="s">
        <v>127</v>
      </c>
      <c r="X3" s="38" t="s">
        <v>128</v>
      </c>
      <c r="Y3" s="38" t="s">
        <v>129</v>
      </c>
      <c r="Z3" s="38" t="s">
        <v>130</v>
      </c>
    </row>
    <row r="4" customFormat="false" ht="15" hidden="false" customHeight="false" outlineLevel="0" collapsed="false">
      <c r="A4" s="39" t="n">
        <v>1</v>
      </c>
      <c r="B4" s="40" t="n">
        <f aca="false">EDATE(Inputs!$B$8,A4-1)</f>
        <v>46174</v>
      </c>
      <c r="C4" s="39" t="n">
        <f aca="false">ROUNDUP(A4/12,0)</f>
        <v>1</v>
      </c>
      <c r="D4" s="39" t="n">
        <f aca="false">MOD(A4-1,12)+1</f>
        <v>1</v>
      </c>
      <c r="E4" s="41" t="n">
        <f aca="false">IF(A4&lt;Inputs!$B$9,0,MIN(1,(A4-Inputs!$B$9+1)/Inputs!$C$32))</f>
        <v>0</v>
      </c>
      <c r="F4" s="42" t="n">
        <f aca="false">Inputs!$B$14*Inputs!$B$13*Inputs!$C$23</f>
        <v>210</v>
      </c>
      <c r="G4" s="42" t="n">
        <f aca="false">F4*Inputs!$B$12*E4</f>
        <v>0</v>
      </c>
      <c r="H4" s="42" t="n">
        <f aca="false">INDEX(Inputs!$C$26:$E$26,1,C4)</f>
        <v>3129257437.93</v>
      </c>
      <c r="I4" s="43" t="n">
        <f aca="false">INDEX(Inputs!$C$27:$E$27,1,C4)</f>
        <v>0.03</v>
      </c>
      <c r="J4" s="42" t="n">
        <f aca="false">H4*Inputs!$B$18*I4/12*E4</f>
        <v>0</v>
      </c>
      <c r="K4" s="42" t="n">
        <f aca="false">G4+J4</f>
        <v>0</v>
      </c>
      <c r="L4" s="42" t="n">
        <f aca="false">IF(A4=1,Inputs!$C$29,0)</f>
        <v>5000000</v>
      </c>
      <c r="M4" s="42" t="n">
        <f aca="false">IF(A4&gt;=Inputs!$B$9,INDEX(Inputs!$C$30:$E$30,1,C4),0)</f>
        <v>0</v>
      </c>
      <c r="N4" s="42" t="n">
        <f aca="false">L4+M4</f>
        <v>5000000</v>
      </c>
      <c r="O4" s="42" t="n">
        <f aca="false">K4-N4</f>
        <v>-5000000</v>
      </c>
      <c r="P4" s="42" t="n">
        <f aca="false">0</f>
        <v>0</v>
      </c>
      <c r="Q4" s="42" t="n">
        <f aca="false">MAX(O4-P4,0)</f>
        <v>0</v>
      </c>
      <c r="R4" s="42" t="n">
        <f aca="false">MAX(P4-O4,0)</f>
        <v>5000000</v>
      </c>
      <c r="S4" s="42" t="n">
        <f aca="false">Q4*Inputs!$B$11</f>
        <v>0</v>
      </c>
      <c r="T4" s="42" t="n">
        <f aca="false">O4-S4</f>
        <v>-5000000</v>
      </c>
      <c r="U4" s="42" t="n">
        <f aca="false">T4</f>
        <v>-5000000</v>
      </c>
      <c r="V4" s="44" t="n">
        <f aca="false">1/(1+Inputs!$B$10)^(A4/12)</f>
        <v>0.988420733228369</v>
      </c>
      <c r="W4" s="42" t="n">
        <f aca="false">T4*V4</f>
        <v>-4942103.66614185</v>
      </c>
      <c r="X4" s="42" t="n">
        <f aca="false">W4</f>
        <v>-4942103.66614185</v>
      </c>
      <c r="Y4" s="45" t="str">
        <f aca="false">IF(U4&gt;=0,A4,"")</f>
        <v/>
      </c>
      <c r="Z4" s="45" t="str">
        <f aca="false">IF(X4&gt;=0,A4,"")</f>
        <v/>
      </c>
    </row>
    <row r="5" customFormat="false" ht="15" hidden="false" customHeight="false" outlineLevel="0" collapsed="false">
      <c r="A5" s="39" t="n">
        <v>2</v>
      </c>
      <c r="B5" s="40" t="n">
        <f aca="false">EDATE(Inputs!$B$8,A5-1)</f>
        <v>46204</v>
      </c>
      <c r="C5" s="39" t="n">
        <f aca="false">ROUNDUP(A5/12,0)</f>
        <v>1</v>
      </c>
      <c r="D5" s="39" t="n">
        <f aca="false">MOD(A5-1,12)+1</f>
        <v>2</v>
      </c>
      <c r="E5" s="41" t="n">
        <f aca="false">IF(A5&lt;Inputs!$B$9,0,MIN(1,(A5-Inputs!$B$9+1)/Inputs!$C$32))</f>
        <v>0.111111111111111</v>
      </c>
      <c r="F5" s="42" t="n">
        <f aca="false">Inputs!$B$14*Inputs!$B$13*Inputs!$C$23</f>
        <v>210</v>
      </c>
      <c r="G5" s="42" t="n">
        <f aca="false">F5*Inputs!$B$12*E5</f>
        <v>133326.666666667</v>
      </c>
      <c r="H5" s="42" t="n">
        <f aca="false">INDEX(Inputs!$C$26:$E$26,1,C5)</f>
        <v>3129257437.93</v>
      </c>
      <c r="I5" s="43" t="n">
        <f aca="false">INDEX(Inputs!$C$27:$E$27,1,C5)</f>
        <v>0.03</v>
      </c>
      <c r="J5" s="42" t="n">
        <f aca="false">H5*Inputs!$B$18*I5/12*E5</f>
        <v>8692.38177202778</v>
      </c>
      <c r="K5" s="42" t="n">
        <f aca="false">G5+J5</f>
        <v>142019.048438694</v>
      </c>
      <c r="L5" s="42" t="n">
        <f aca="false">IF(A5=1,Inputs!$C$29,0)</f>
        <v>0</v>
      </c>
      <c r="M5" s="42" t="n">
        <f aca="false">IF(A5&gt;=Inputs!$B$9,INDEX(Inputs!$C$30:$E$30,1,C5),0)</f>
        <v>600000</v>
      </c>
      <c r="N5" s="42" t="n">
        <f aca="false">L5+M5</f>
        <v>600000</v>
      </c>
      <c r="O5" s="42" t="n">
        <f aca="false">K5-N5</f>
        <v>-457980.951561306</v>
      </c>
      <c r="P5" s="42" t="n">
        <f aca="false">R4</f>
        <v>5000000</v>
      </c>
      <c r="Q5" s="42" t="n">
        <f aca="false">MAX(O5-P5,0)</f>
        <v>0</v>
      </c>
      <c r="R5" s="42" t="n">
        <f aca="false">MAX(P5-O5,0)</f>
        <v>5457980.95156131</v>
      </c>
      <c r="S5" s="42" t="n">
        <f aca="false">Q5*Inputs!$B$11</f>
        <v>0</v>
      </c>
      <c r="T5" s="42" t="n">
        <f aca="false">O5-S5</f>
        <v>-457980.951561306</v>
      </c>
      <c r="U5" s="42" t="n">
        <f aca="false">U4+T5</f>
        <v>-5457980.95156131</v>
      </c>
      <c r="V5" s="44" t="n">
        <f aca="false">1/(1+Inputs!$B$10)^(A5/12)</f>
        <v>0.976975545875707</v>
      </c>
      <c r="W5" s="42" t="n">
        <f aca="false">T5*V5</f>
        <v>-447436.190152282</v>
      </c>
      <c r="X5" s="42" t="n">
        <f aca="false">X4+W5</f>
        <v>-5389539.85629413</v>
      </c>
      <c r="Y5" s="45" t="str">
        <f aca="false">IF(U5&gt;=0,A5,"")</f>
        <v/>
      </c>
      <c r="Z5" s="45" t="str">
        <f aca="false">IF(X5&gt;=0,A5,"")</f>
        <v/>
      </c>
    </row>
    <row r="6" customFormat="false" ht="15" hidden="false" customHeight="false" outlineLevel="0" collapsed="false">
      <c r="A6" s="39" t="n">
        <v>3</v>
      </c>
      <c r="B6" s="40" t="n">
        <f aca="false">EDATE(Inputs!$B$8,A6-1)</f>
        <v>46235</v>
      </c>
      <c r="C6" s="39" t="n">
        <f aca="false">ROUNDUP(A6/12,0)</f>
        <v>1</v>
      </c>
      <c r="D6" s="39" t="n">
        <f aca="false">MOD(A6-1,12)+1</f>
        <v>3</v>
      </c>
      <c r="E6" s="41" t="n">
        <f aca="false">IF(A6&lt;Inputs!$B$9,0,MIN(1,(A6-Inputs!$B$9+1)/Inputs!$C$32))</f>
        <v>0.222222222222222</v>
      </c>
      <c r="F6" s="42" t="n">
        <f aca="false">Inputs!$B$14*Inputs!$B$13*Inputs!$C$23</f>
        <v>210</v>
      </c>
      <c r="G6" s="42" t="n">
        <f aca="false">F6*Inputs!$B$12*E6</f>
        <v>266653.333333333</v>
      </c>
      <c r="H6" s="42" t="n">
        <f aca="false">INDEX(Inputs!$C$26:$E$26,1,C6)</f>
        <v>3129257437.93</v>
      </c>
      <c r="I6" s="43" t="n">
        <f aca="false">INDEX(Inputs!$C$27:$E$27,1,C6)</f>
        <v>0.03</v>
      </c>
      <c r="J6" s="42" t="n">
        <f aca="false">H6*Inputs!$B$18*I6/12*E6</f>
        <v>17384.7635440556</v>
      </c>
      <c r="K6" s="42" t="n">
        <f aca="false">G6+J6</f>
        <v>284038.096877389</v>
      </c>
      <c r="L6" s="42" t="n">
        <f aca="false">IF(A6=1,Inputs!$C$29,0)</f>
        <v>0</v>
      </c>
      <c r="M6" s="42" t="n">
        <f aca="false">IF(A6&gt;=Inputs!$B$9,INDEX(Inputs!$C$30:$E$30,1,C6),0)</f>
        <v>600000</v>
      </c>
      <c r="N6" s="42" t="n">
        <f aca="false">L6+M6</f>
        <v>600000</v>
      </c>
      <c r="O6" s="42" t="n">
        <f aca="false">K6-N6</f>
        <v>-315961.903122611</v>
      </c>
      <c r="P6" s="42" t="n">
        <f aca="false">R5</f>
        <v>5457980.95156131</v>
      </c>
      <c r="Q6" s="42" t="n">
        <f aca="false">MAX(O6-P6,0)</f>
        <v>0</v>
      </c>
      <c r="R6" s="42" t="n">
        <f aca="false">MAX(P6-O6,0)</f>
        <v>5773942.85468392</v>
      </c>
      <c r="S6" s="42" t="n">
        <f aca="false">Q6*Inputs!$B$11</f>
        <v>0</v>
      </c>
      <c r="T6" s="42" t="n">
        <f aca="false">O6-S6</f>
        <v>-315961.903122611</v>
      </c>
      <c r="U6" s="42" t="n">
        <f aca="false">U5+T6</f>
        <v>-5773942.85468392</v>
      </c>
      <c r="V6" s="44" t="n">
        <f aca="false">1/(1+Inputs!$B$10)^(A6/12)</f>
        <v>0.965662885400653</v>
      </c>
      <c r="W6" s="42" t="n">
        <f aca="false">T6*V6</f>
        <v>-305112.683046062</v>
      </c>
      <c r="X6" s="42" t="n">
        <f aca="false">X5+W6</f>
        <v>-5694652.53934019</v>
      </c>
      <c r="Y6" s="45" t="str">
        <f aca="false">IF(U6&gt;=0,A6,"")</f>
        <v/>
      </c>
      <c r="Z6" s="45" t="str">
        <f aca="false">IF(X6&gt;=0,A6,"")</f>
        <v/>
      </c>
    </row>
    <row r="7" customFormat="false" ht="15" hidden="false" customHeight="false" outlineLevel="0" collapsed="false">
      <c r="A7" s="39" t="n">
        <v>4</v>
      </c>
      <c r="B7" s="40" t="n">
        <f aca="false">EDATE(Inputs!$B$8,A7-1)</f>
        <v>46266</v>
      </c>
      <c r="C7" s="39" t="n">
        <f aca="false">ROUNDUP(A7/12,0)</f>
        <v>1</v>
      </c>
      <c r="D7" s="39" t="n">
        <f aca="false">MOD(A7-1,12)+1</f>
        <v>4</v>
      </c>
      <c r="E7" s="41" t="n">
        <f aca="false">IF(A7&lt;Inputs!$B$9,0,MIN(1,(A7-Inputs!$B$9+1)/Inputs!$C$32))</f>
        <v>0.333333333333333</v>
      </c>
      <c r="F7" s="42" t="n">
        <f aca="false">Inputs!$B$14*Inputs!$B$13*Inputs!$C$23</f>
        <v>210</v>
      </c>
      <c r="G7" s="42" t="n">
        <f aca="false">F7*Inputs!$B$12*E7</f>
        <v>399980</v>
      </c>
      <c r="H7" s="42" t="n">
        <f aca="false">INDEX(Inputs!$C$26:$E$26,1,C7)</f>
        <v>3129257437.93</v>
      </c>
      <c r="I7" s="43" t="n">
        <f aca="false">INDEX(Inputs!$C$27:$E$27,1,C7)</f>
        <v>0.03</v>
      </c>
      <c r="J7" s="42" t="n">
        <f aca="false">H7*Inputs!$B$18*I7/12*E7</f>
        <v>26077.1453160833</v>
      </c>
      <c r="K7" s="42" t="n">
        <f aca="false">G7+J7</f>
        <v>426057.145316083</v>
      </c>
      <c r="L7" s="42" t="n">
        <f aca="false">IF(A7=1,Inputs!$C$29,0)</f>
        <v>0</v>
      </c>
      <c r="M7" s="42" t="n">
        <f aca="false">IF(A7&gt;=Inputs!$B$9,INDEX(Inputs!$C$30:$E$30,1,C7),0)</f>
        <v>600000</v>
      </c>
      <c r="N7" s="42" t="n">
        <f aca="false">L7+M7</f>
        <v>600000</v>
      </c>
      <c r="O7" s="42" t="n">
        <f aca="false">K7-N7</f>
        <v>-173942.854683917</v>
      </c>
      <c r="P7" s="42" t="n">
        <f aca="false">R6</f>
        <v>5773942.85468392</v>
      </c>
      <c r="Q7" s="42" t="n">
        <f aca="false">MAX(O7-P7,0)</f>
        <v>0</v>
      </c>
      <c r="R7" s="42" t="n">
        <f aca="false">MAX(P7-O7,0)</f>
        <v>5947885.70936783</v>
      </c>
      <c r="S7" s="42" t="n">
        <f aca="false">Q7*Inputs!$B$11</f>
        <v>0</v>
      </c>
      <c r="T7" s="42" t="n">
        <f aca="false">O7-S7</f>
        <v>-173942.854683917</v>
      </c>
      <c r="U7" s="42" t="n">
        <f aca="false">U6+T7</f>
        <v>-5947885.70936783</v>
      </c>
      <c r="V7" s="44" t="n">
        <f aca="false">1/(1+Inputs!$B$10)^(A7/12)</f>
        <v>0.954481217239136</v>
      </c>
      <c r="W7" s="42" t="n">
        <f aca="false">T7*V7</f>
        <v>-166025.187668755</v>
      </c>
      <c r="X7" s="42" t="n">
        <f aca="false">X6+W7</f>
        <v>-5860677.72700894</v>
      </c>
      <c r="Y7" s="45" t="str">
        <f aca="false">IF(U7&gt;=0,A7,"")</f>
        <v/>
      </c>
      <c r="Z7" s="45" t="str">
        <f aca="false">IF(X7&gt;=0,A7,"")</f>
        <v/>
      </c>
    </row>
    <row r="8" customFormat="false" ht="15" hidden="false" customHeight="false" outlineLevel="0" collapsed="false">
      <c r="A8" s="39" t="n">
        <v>5</v>
      </c>
      <c r="B8" s="40" t="n">
        <f aca="false">EDATE(Inputs!$B$8,A8-1)</f>
        <v>46296</v>
      </c>
      <c r="C8" s="39" t="n">
        <f aca="false">ROUNDUP(A8/12,0)</f>
        <v>1</v>
      </c>
      <c r="D8" s="39" t="n">
        <f aca="false">MOD(A8-1,12)+1</f>
        <v>5</v>
      </c>
      <c r="E8" s="41" t="n">
        <f aca="false">IF(A8&lt;Inputs!$B$9,0,MIN(1,(A8-Inputs!$B$9+1)/Inputs!$C$32))</f>
        <v>0.444444444444444</v>
      </c>
      <c r="F8" s="42" t="n">
        <f aca="false">Inputs!$B$14*Inputs!$B$13*Inputs!$C$23</f>
        <v>210</v>
      </c>
      <c r="G8" s="42" t="n">
        <f aca="false">F8*Inputs!$B$12*E8</f>
        <v>533306.666666667</v>
      </c>
      <c r="H8" s="42" t="n">
        <f aca="false">INDEX(Inputs!$C$26:$E$26,1,C8)</f>
        <v>3129257437.93</v>
      </c>
      <c r="I8" s="43" t="n">
        <f aca="false">INDEX(Inputs!$C$27:$E$27,1,C8)</f>
        <v>0.03</v>
      </c>
      <c r="J8" s="42" t="n">
        <f aca="false">H8*Inputs!$B$18*I8/12*E8</f>
        <v>34769.5270881111</v>
      </c>
      <c r="K8" s="42" t="n">
        <f aca="false">G8+J8</f>
        <v>568076.193754778</v>
      </c>
      <c r="L8" s="42" t="n">
        <f aca="false">IF(A8=1,Inputs!$C$29,0)</f>
        <v>0</v>
      </c>
      <c r="M8" s="42" t="n">
        <f aca="false">IF(A8&gt;=Inputs!$B$9,INDEX(Inputs!$C$30:$E$30,1,C8),0)</f>
        <v>600000</v>
      </c>
      <c r="N8" s="42" t="n">
        <f aca="false">L8+M8</f>
        <v>600000</v>
      </c>
      <c r="O8" s="42" t="n">
        <f aca="false">K8-N8</f>
        <v>-31923.8062452222</v>
      </c>
      <c r="P8" s="42" t="n">
        <f aca="false">R7</f>
        <v>5947885.70936783</v>
      </c>
      <c r="Q8" s="42" t="n">
        <f aca="false">MAX(O8-P8,0)</f>
        <v>0</v>
      </c>
      <c r="R8" s="42" t="n">
        <f aca="false">MAX(P8-O8,0)</f>
        <v>5979809.51561306</v>
      </c>
      <c r="S8" s="42" t="n">
        <f aca="false">Q8*Inputs!$B$11</f>
        <v>0</v>
      </c>
      <c r="T8" s="42" t="n">
        <f aca="false">O8-S8</f>
        <v>-31923.8062452222</v>
      </c>
      <c r="U8" s="42" t="n">
        <f aca="false">U7+T8</f>
        <v>-5979809.51561306</v>
      </c>
      <c r="V8" s="44" t="n">
        <f aca="false">1/(1+Inputs!$B$10)^(A8/12)</f>
        <v>0.943429024596213</v>
      </c>
      <c r="W8" s="42" t="n">
        <f aca="false">T8*V8</f>
        <v>-30117.8453873285</v>
      </c>
      <c r="X8" s="42" t="n">
        <f aca="false">X7+W8</f>
        <v>-5890795.57239627</v>
      </c>
      <c r="Y8" s="45" t="str">
        <f aca="false">IF(U8&gt;=0,A8,"")</f>
        <v/>
      </c>
      <c r="Z8" s="45" t="str">
        <f aca="false">IF(X8&gt;=0,A8,"")</f>
        <v/>
      </c>
    </row>
    <row r="9" customFormat="false" ht="15" hidden="false" customHeight="false" outlineLevel="0" collapsed="false">
      <c r="A9" s="39" t="n">
        <v>6</v>
      </c>
      <c r="B9" s="40" t="n">
        <f aca="false">EDATE(Inputs!$B$8,A9-1)</f>
        <v>46327</v>
      </c>
      <c r="C9" s="39" t="n">
        <f aca="false">ROUNDUP(A9/12,0)</f>
        <v>1</v>
      </c>
      <c r="D9" s="39" t="n">
        <f aca="false">MOD(A9-1,12)+1</f>
        <v>6</v>
      </c>
      <c r="E9" s="41" t="n">
        <f aca="false">IF(A9&lt;Inputs!$B$9,0,MIN(1,(A9-Inputs!$B$9+1)/Inputs!$C$32))</f>
        <v>0.555555555555556</v>
      </c>
      <c r="F9" s="42" t="n">
        <f aca="false">Inputs!$B$14*Inputs!$B$13*Inputs!$C$23</f>
        <v>210</v>
      </c>
      <c r="G9" s="42" t="n">
        <f aca="false">F9*Inputs!$B$12*E9</f>
        <v>666633.333333333</v>
      </c>
      <c r="H9" s="42" t="n">
        <f aca="false">INDEX(Inputs!$C$26:$E$26,1,C9)</f>
        <v>3129257437.93</v>
      </c>
      <c r="I9" s="43" t="n">
        <f aca="false">INDEX(Inputs!$C$27:$E$27,1,C9)</f>
        <v>0.03</v>
      </c>
      <c r="J9" s="42" t="n">
        <f aca="false">H9*Inputs!$B$18*I9/12*E9</f>
        <v>43461.9088601389</v>
      </c>
      <c r="K9" s="42" t="n">
        <f aca="false">G9+J9</f>
        <v>710095.242193472</v>
      </c>
      <c r="L9" s="42" t="n">
        <f aca="false">IF(A9=1,Inputs!$C$29,0)</f>
        <v>0</v>
      </c>
      <c r="M9" s="42" t="n">
        <f aca="false">IF(A9&gt;=Inputs!$B$9,INDEX(Inputs!$C$30:$E$30,1,C9),0)</f>
        <v>600000</v>
      </c>
      <c r="N9" s="42" t="n">
        <f aca="false">L9+M9</f>
        <v>600000</v>
      </c>
      <c r="O9" s="42" t="n">
        <f aca="false">K9-N9</f>
        <v>110095.242193472</v>
      </c>
      <c r="P9" s="42" t="n">
        <f aca="false">R8</f>
        <v>5979809.51561306</v>
      </c>
      <c r="Q9" s="42" t="n">
        <f aca="false">MAX(O9-P9,0)</f>
        <v>0</v>
      </c>
      <c r="R9" s="42" t="n">
        <f aca="false">MAX(P9-O9,0)</f>
        <v>5869714.27341958</v>
      </c>
      <c r="S9" s="42" t="n">
        <f aca="false">Q9*Inputs!$B$11</f>
        <v>0</v>
      </c>
      <c r="T9" s="42" t="n">
        <f aca="false">O9-S9</f>
        <v>110095.242193472</v>
      </c>
      <c r="U9" s="42" t="n">
        <f aca="false">U8+T9</f>
        <v>-5869714.27341958</v>
      </c>
      <c r="V9" s="44" t="n">
        <f aca="false">1/(1+Inputs!$B$10)^(A9/12)</f>
        <v>0.932504808240314</v>
      </c>
      <c r="W9" s="42" t="n">
        <f aca="false">T9*V9</f>
        <v>102664.342709795</v>
      </c>
      <c r="X9" s="42" t="n">
        <f aca="false">X8+W9</f>
        <v>-5788131.22968648</v>
      </c>
      <c r="Y9" s="45" t="str">
        <f aca="false">IF(U9&gt;=0,A9,"")</f>
        <v/>
      </c>
      <c r="Z9" s="45" t="str">
        <f aca="false">IF(X9&gt;=0,A9,"")</f>
        <v/>
      </c>
    </row>
    <row r="10" customFormat="false" ht="15" hidden="false" customHeight="false" outlineLevel="0" collapsed="false">
      <c r="A10" s="39" t="n">
        <v>7</v>
      </c>
      <c r="B10" s="40" t="n">
        <f aca="false">EDATE(Inputs!$B$8,A10-1)</f>
        <v>46357</v>
      </c>
      <c r="C10" s="39" t="n">
        <f aca="false">ROUNDUP(A10/12,0)</f>
        <v>1</v>
      </c>
      <c r="D10" s="39" t="n">
        <f aca="false">MOD(A10-1,12)+1</f>
        <v>7</v>
      </c>
      <c r="E10" s="41" t="n">
        <f aca="false">IF(A10&lt;Inputs!$B$9,0,MIN(1,(A10-Inputs!$B$9+1)/Inputs!$C$32))</f>
        <v>0.666666666666667</v>
      </c>
      <c r="F10" s="42" t="n">
        <f aca="false">Inputs!$B$14*Inputs!$B$13*Inputs!$C$23</f>
        <v>210</v>
      </c>
      <c r="G10" s="42" t="n">
        <f aca="false">F10*Inputs!$B$12*E10</f>
        <v>799960</v>
      </c>
      <c r="H10" s="42" t="n">
        <f aca="false">INDEX(Inputs!$C$26:$E$26,1,C10)</f>
        <v>3129257437.93</v>
      </c>
      <c r="I10" s="43" t="n">
        <f aca="false">INDEX(Inputs!$C$27:$E$27,1,C10)</f>
        <v>0.03</v>
      </c>
      <c r="J10" s="42" t="n">
        <f aca="false">H10*Inputs!$B$18*I10/12*E10</f>
        <v>52154.2906321667</v>
      </c>
      <c r="K10" s="42" t="n">
        <f aca="false">G10+J10</f>
        <v>852114.290632167</v>
      </c>
      <c r="L10" s="42" t="n">
        <f aca="false">IF(A10=1,Inputs!$C$29,0)</f>
        <v>0</v>
      </c>
      <c r="M10" s="42" t="n">
        <f aca="false">IF(A10&gt;=Inputs!$B$9,INDEX(Inputs!$C$30:$E$30,1,C10),0)</f>
        <v>600000</v>
      </c>
      <c r="N10" s="42" t="n">
        <f aca="false">L10+M10</f>
        <v>600000</v>
      </c>
      <c r="O10" s="42" t="n">
        <f aca="false">K10-N10</f>
        <v>252114.290632167</v>
      </c>
      <c r="P10" s="42" t="n">
        <f aca="false">R9</f>
        <v>5869714.27341958</v>
      </c>
      <c r="Q10" s="42" t="n">
        <f aca="false">MAX(O10-P10,0)</f>
        <v>0</v>
      </c>
      <c r="R10" s="42" t="n">
        <f aca="false">MAX(P10-O10,0)</f>
        <v>5617599.98278742</v>
      </c>
      <c r="S10" s="42" t="n">
        <f aca="false">Q10*Inputs!$B$11</f>
        <v>0</v>
      </c>
      <c r="T10" s="42" t="n">
        <f aca="false">O10-S10</f>
        <v>252114.290632167</v>
      </c>
      <c r="U10" s="42" t="n">
        <f aca="false">U9+T10</f>
        <v>-5617599.98278742</v>
      </c>
      <c r="V10" s="44" t="n">
        <f aca="false">1/(1+Inputs!$B$10)^(A10/12)</f>
        <v>0.921707086299871</v>
      </c>
      <c r="W10" s="42" t="n">
        <f aca="false">T10*V10</f>
        <v>232375.528233133</v>
      </c>
      <c r="X10" s="42" t="n">
        <f aca="false">X9+W10</f>
        <v>-5555755.70145335</v>
      </c>
      <c r="Y10" s="45" t="str">
        <f aca="false">IF(U10&gt;=0,A10,"")</f>
        <v/>
      </c>
      <c r="Z10" s="45" t="str">
        <f aca="false">IF(X10&gt;=0,A10,"")</f>
        <v/>
      </c>
    </row>
    <row r="11" customFormat="false" ht="15" hidden="false" customHeight="false" outlineLevel="0" collapsed="false">
      <c r="A11" s="39" t="n">
        <v>8</v>
      </c>
      <c r="B11" s="40" t="n">
        <f aca="false">EDATE(Inputs!$B$8,A11-1)</f>
        <v>46388</v>
      </c>
      <c r="C11" s="39" t="n">
        <f aca="false">ROUNDUP(A11/12,0)</f>
        <v>1</v>
      </c>
      <c r="D11" s="39" t="n">
        <f aca="false">MOD(A11-1,12)+1</f>
        <v>8</v>
      </c>
      <c r="E11" s="41" t="n">
        <f aca="false">IF(A11&lt;Inputs!$B$9,0,MIN(1,(A11-Inputs!$B$9+1)/Inputs!$C$32))</f>
        <v>0.777777777777778</v>
      </c>
      <c r="F11" s="42" t="n">
        <f aca="false">Inputs!$B$14*Inputs!$B$13*Inputs!$C$23</f>
        <v>210</v>
      </c>
      <c r="G11" s="42" t="n">
        <f aca="false">F11*Inputs!$B$12*E11</f>
        <v>933286.666666667</v>
      </c>
      <c r="H11" s="42" t="n">
        <f aca="false">INDEX(Inputs!$C$26:$E$26,1,C11)</f>
        <v>3129257437.93</v>
      </c>
      <c r="I11" s="43" t="n">
        <f aca="false">INDEX(Inputs!$C$27:$E$27,1,C11)</f>
        <v>0.03</v>
      </c>
      <c r="J11" s="42" t="n">
        <f aca="false">H11*Inputs!$B$18*I11/12*E11</f>
        <v>60846.6724041944</v>
      </c>
      <c r="K11" s="42" t="n">
        <f aca="false">G11+J11</f>
        <v>994133.339070861</v>
      </c>
      <c r="L11" s="42" t="n">
        <f aca="false">IF(A11=1,Inputs!$C$29,0)</f>
        <v>0</v>
      </c>
      <c r="M11" s="42" t="n">
        <f aca="false">IF(A11&gt;=Inputs!$B$9,INDEX(Inputs!$C$30:$E$30,1,C11),0)</f>
        <v>600000</v>
      </c>
      <c r="N11" s="42" t="n">
        <f aca="false">L11+M11</f>
        <v>600000</v>
      </c>
      <c r="O11" s="42" t="n">
        <f aca="false">K11-N11</f>
        <v>394133.339070861</v>
      </c>
      <c r="P11" s="42" t="n">
        <f aca="false">R10</f>
        <v>5617599.98278742</v>
      </c>
      <c r="Q11" s="42" t="n">
        <f aca="false">MAX(O11-P11,0)</f>
        <v>0</v>
      </c>
      <c r="R11" s="42" t="n">
        <f aca="false">MAX(P11-O11,0)</f>
        <v>5223466.64371656</v>
      </c>
      <c r="S11" s="42" t="n">
        <f aca="false">Q11*Inputs!$B$11</f>
        <v>0</v>
      </c>
      <c r="T11" s="42" t="n">
        <f aca="false">O11-S11</f>
        <v>394133.339070861</v>
      </c>
      <c r="U11" s="42" t="n">
        <f aca="false">U10+T11</f>
        <v>-5223466.64371656</v>
      </c>
      <c r="V11" s="44" t="n">
        <f aca="false">1/(1+Inputs!$B$10)^(A11/12)</f>
        <v>0.911034394062302</v>
      </c>
      <c r="W11" s="42" t="n">
        <f aca="false">T11*V11</f>
        <v>359069.027740174</v>
      </c>
      <c r="X11" s="42" t="n">
        <f aca="false">X10+W11</f>
        <v>-5196686.67371317</v>
      </c>
      <c r="Y11" s="45" t="str">
        <f aca="false">IF(U11&gt;=0,A11,"")</f>
        <v/>
      </c>
      <c r="Z11" s="45" t="str">
        <f aca="false">IF(X11&gt;=0,A11,"")</f>
        <v/>
      </c>
    </row>
    <row r="12" customFormat="false" ht="15" hidden="false" customHeight="false" outlineLevel="0" collapsed="false">
      <c r="A12" s="39" t="n">
        <v>9</v>
      </c>
      <c r="B12" s="40" t="n">
        <f aca="false">EDATE(Inputs!$B$8,A12-1)</f>
        <v>46419</v>
      </c>
      <c r="C12" s="39" t="n">
        <f aca="false">ROUNDUP(A12/12,0)</f>
        <v>1</v>
      </c>
      <c r="D12" s="39" t="n">
        <f aca="false">MOD(A12-1,12)+1</f>
        <v>9</v>
      </c>
      <c r="E12" s="41" t="n">
        <f aca="false">IF(A12&lt;Inputs!$B$9,0,MIN(1,(A12-Inputs!$B$9+1)/Inputs!$C$32))</f>
        <v>0.888888888888889</v>
      </c>
      <c r="F12" s="42" t="n">
        <f aca="false">Inputs!$B$14*Inputs!$B$13*Inputs!$C$23</f>
        <v>210</v>
      </c>
      <c r="G12" s="42" t="n">
        <f aca="false">F12*Inputs!$B$12*E12</f>
        <v>1066613.33333333</v>
      </c>
      <c r="H12" s="42" t="n">
        <f aca="false">INDEX(Inputs!$C$26:$E$26,1,C12)</f>
        <v>3129257437.93</v>
      </c>
      <c r="I12" s="43" t="n">
        <f aca="false">INDEX(Inputs!$C$27:$E$27,1,C12)</f>
        <v>0.03</v>
      </c>
      <c r="J12" s="42" t="n">
        <f aca="false">H12*Inputs!$B$18*I12/12*E12</f>
        <v>69539.0541762222</v>
      </c>
      <c r="K12" s="42" t="n">
        <f aca="false">G12+J12</f>
        <v>1136152.38750956</v>
      </c>
      <c r="L12" s="42" t="n">
        <f aca="false">IF(A12=1,Inputs!$C$29,0)</f>
        <v>0</v>
      </c>
      <c r="M12" s="42" t="n">
        <f aca="false">IF(A12&gt;=Inputs!$B$9,INDEX(Inputs!$C$30:$E$30,1,C12),0)</f>
        <v>600000</v>
      </c>
      <c r="N12" s="42" t="n">
        <f aca="false">L12+M12</f>
        <v>600000</v>
      </c>
      <c r="O12" s="42" t="n">
        <f aca="false">K12-N12</f>
        <v>536152.387509556</v>
      </c>
      <c r="P12" s="42" t="n">
        <f aca="false">R11</f>
        <v>5223466.64371656</v>
      </c>
      <c r="Q12" s="42" t="n">
        <f aca="false">MAX(O12-P12,0)</f>
        <v>0</v>
      </c>
      <c r="R12" s="42" t="n">
        <f aca="false">MAX(P12-O12,0)</f>
        <v>4687314.256207</v>
      </c>
      <c r="S12" s="42" t="n">
        <f aca="false">Q12*Inputs!$B$11</f>
        <v>0</v>
      </c>
      <c r="T12" s="42" t="n">
        <f aca="false">O12-S12</f>
        <v>536152.387509556</v>
      </c>
      <c r="U12" s="42" t="n">
        <f aca="false">U11+T12</f>
        <v>-4687314.256207</v>
      </c>
      <c r="V12" s="44" t="n">
        <f aca="false">1/(1+Inputs!$B$10)^(A12/12)</f>
        <v>0.900485283775324</v>
      </c>
      <c r="W12" s="42" t="n">
        <f aca="false">T12*V12</f>
        <v>482797.334813359</v>
      </c>
      <c r="X12" s="42" t="n">
        <f aca="false">X11+W12</f>
        <v>-4713889.33889981</v>
      </c>
      <c r="Y12" s="45" t="str">
        <f aca="false">IF(U12&gt;=0,A12,"")</f>
        <v/>
      </c>
      <c r="Z12" s="45" t="str">
        <f aca="false">IF(X12&gt;=0,A12,"")</f>
        <v/>
      </c>
    </row>
    <row r="13" customFormat="false" ht="15" hidden="false" customHeight="false" outlineLevel="0" collapsed="false">
      <c r="A13" s="39" t="n">
        <v>10</v>
      </c>
      <c r="B13" s="40" t="n">
        <f aca="false">EDATE(Inputs!$B$8,A13-1)</f>
        <v>46447</v>
      </c>
      <c r="C13" s="39" t="n">
        <f aca="false">ROUNDUP(A13/12,0)</f>
        <v>1</v>
      </c>
      <c r="D13" s="39" t="n">
        <f aca="false">MOD(A13-1,12)+1</f>
        <v>10</v>
      </c>
      <c r="E13" s="41" t="n">
        <f aca="false">IF(A13&lt;Inputs!$B$9,0,MIN(1,(A13-Inputs!$B$9+1)/Inputs!$C$32))</f>
        <v>1</v>
      </c>
      <c r="F13" s="42" t="n">
        <f aca="false">Inputs!$B$14*Inputs!$B$13*Inputs!$C$23</f>
        <v>210</v>
      </c>
      <c r="G13" s="42" t="n">
        <f aca="false">F13*Inputs!$B$12*E13</f>
        <v>1199940</v>
      </c>
      <c r="H13" s="42" t="n">
        <f aca="false">INDEX(Inputs!$C$26:$E$26,1,C13)</f>
        <v>3129257437.93</v>
      </c>
      <c r="I13" s="43" t="n">
        <f aca="false">INDEX(Inputs!$C$27:$E$27,1,C13)</f>
        <v>0.03</v>
      </c>
      <c r="J13" s="42" t="n">
        <f aca="false">H13*Inputs!$B$18*I13/12*E13</f>
        <v>78231.43594825</v>
      </c>
      <c r="K13" s="42" t="n">
        <f aca="false">G13+J13</f>
        <v>1278171.43594825</v>
      </c>
      <c r="L13" s="42" t="n">
        <f aca="false">IF(A13=1,Inputs!$C$29,0)</f>
        <v>0</v>
      </c>
      <c r="M13" s="42" t="n">
        <f aca="false">IF(A13&gt;=Inputs!$B$9,INDEX(Inputs!$C$30:$E$30,1,C13),0)</f>
        <v>600000</v>
      </c>
      <c r="N13" s="42" t="n">
        <f aca="false">L13+M13</f>
        <v>600000</v>
      </c>
      <c r="O13" s="42" t="n">
        <f aca="false">K13-N13</f>
        <v>678171.43594825</v>
      </c>
      <c r="P13" s="42" t="n">
        <f aca="false">R12</f>
        <v>4687314.256207</v>
      </c>
      <c r="Q13" s="42" t="n">
        <f aca="false">MAX(O13-P13,0)</f>
        <v>0</v>
      </c>
      <c r="R13" s="42" t="n">
        <f aca="false">MAX(P13-O13,0)</f>
        <v>4009142.82025875</v>
      </c>
      <c r="S13" s="42" t="n">
        <f aca="false">Q13*Inputs!$B$11</f>
        <v>0</v>
      </c>
      <c r="T13" s="42" t="n">
        <f aca="false">O13-S13</f>
        <v>678171.43594825</v>
      </c>
      <c r="U13" s="42" t="n">
        <f aca="false">U12+T13</f>
        <v>-4009142.82025875</v>
      </c>
      <c r="V13" s="44" t="n">
        <f aca="false">1/(1+Inputs!$B$10)^(A13/12)</f>
        <v>0.890058324450561</v>
      </c>
      <c r="W13" s="42" t="n">
        <f aca="false">T13*V13</f>
        <v>603612.131970331</v>
      </c>
      <c r="X13" s="42" t="n">
        <f aca="false">X12+W13</f>
        <v>-4110277.20692948</v>
      </c>
      <c r="Y13" s="45" t="str">
        <f aca="false">IF(U13&gt;=0,A13,"")</f>
        <v/>
      </c>
      <c r="Z13" s="45" t="str">
        <f aca="false">IF(X13&gt;=0,A13,"")</f>
        <v/>
      </c>
    </row>
    <row r="14" customFormat="false" ht="15" hidden="false" customHeight="false" outlineLevel="0" collapsed="false">
      <c r="A14" s="39" t="n">
        <v>11</v>
      </c>
      <c r="B14" s="40" t="n">
        <f aca="false">EDATE(Inputs!$B$8,A14-1)</f>
        <v>46478</v>
      </c>
      <c r="C14" s="39" t="n">
        <f aca="false">ROUNDUP(A14/12,0)</f>
        <v>1</v>
      </c>
      <c r="D14" s="39" t="n">
        <f aca="false">MOD(A14-1,12)+1</f>
        <v>11</v>
      </c>
      <c r="E14" s="41" t="n">
        <f aca="false">IF(A14&lt;Inputs!$B$9,0,MIN(1,(A14-Inputs!$B$9+1)/Inputs!$C$32))</f>
        <v>1</v>
      </c>
      <c r="F14" s="42" t="n">
        <f aca="false">Inputs!$B$14*Inputs!$B$13*Inputs!$C$23</f>
        <v>210</v>
      </c>
      <c r="G14" s="42" t="n">
        <f aca="false">F14*Inputs!$B$12*E14</f>
        <v>1199940</v>
      </c>
      <c r="H14" s="42" t="n">
        <f aca="false">INDEX(Inputs!$C$26:$E$26,1,C14)</f>
        <v>3129257437.93</v>
      </c>
      <c r="I14" s="43" t="n">
        <f aca="false">INDEX(Inputs!$C$27:$E$27,1,C14)</f>
        <v>0.03</v>
      </c>
      <c r="J14" s="42" t="n">
        <f aca="false">H14*Inputs!$B$18*I14/12*E14</f>
        <v>78231.43594825</v>
      </c>
      <c r="K14" s="42" t="n">
        <f aca="false">G14+J14</f>
        <v>1278171.43594825</v>
      </c>
      <c r="L14" s="42" t="n">
        <f aca="false">IF(A14=1,Inputs!$C$29,0)</f>
        <v>0</v>
      </c>
      <c r="M14" s="42" t="n">
        <f aca="false">IF(A14&gt;=Inputs!$B$9,INDEX(Inputs!$C$30:$E$30,1,C14),0)</f>
        <v>600000</v>
      </c>
      <c r="N14" s="42" t="n">
        <f aca="false">L14+M14</f>
        <v>600000</v>
      </c>
      <c r="O14" s="42" t="n">
        <f aca="false">K14-N14</f>
        <v>678171.43594825</v>
      </c>
      <c r="P14" s="42" t="n">
        <f aca="false">R13</f>
        <v>4009142.82025875</v>
      </c>
      <c r="Q14" s="42" t="n">
        <f aca="false">MAX(O14-P14,0)</f>
        <v>0</v>
      </c>
      <c r="R14" s="42" t="n">
        <f aca="false">MAX(P14-O14,0)</f>
        <v>3330971.3843105</v>
      </c>
      <c r="S14" s="42" t="n">
        <f aca="false">Q14*Inputs!$B$11</f>
        <v>0</v>
      </c>
      <c r="T14" s="42" t="n">
        <f aca="false">O14-S14</f>
        <v>678171.43594825</v>
      </c>
      <c r="U14" s="42" t="n">
        <f aca="false">U13+T14</f>
        <v>-3330971.3843105</v>
      </c>
      <c r="V14" s="44" t="n">
        <f aca="false">1/(1+Inputs!$B$10)^(A14/12)</f>
        <v>0.879752101669438</v>
      </c>
      <c r="W14" s="42" t="n">
        <f aca="false">T14*V14</f>
        <v>596622.746067653</v>
      </c>
      <c r="X14" s="42" t="n">
        <f aca="false">X13+W14</f>
        <v>-3513654.46086183</v>
      </c>
      <c r="Y14" s="45" t="str">
        <f aca="false">IF(U14&gt;=0,A14,"")</f>
        <v/>
      </c>
      <c r="Z14" s="45" t="str">
        <f aca="false">IF(X14&gt;=0,A14,"")</f>
        <v/>
      </c>
    </row>
    <row r="15" customFormat="false" ht="15" hidden="false" customHeight="false" outlineLevel="0" collapsed="false">
      <c r="A15" s="39" t="n">
        <v>12</v>
      </c>
      <c r="B15" s="40" t="n">
        <f aca="false">EDATE(Inputs!$B$8,A15-1)</f>
        <v>46508</v>
      </c>
      <c r="C15" s="39" t="n">
        <f aca="false">ROUNDUP(A15/12,0)</f>
        <v>1</v>
      </c>
      <c r="D15" s="39" t="n">
        <f aca="false">MOD(A15-1,12)+1</f>
        <v>12</v>
      </c>
      <c r="E15" s="41" t="n">
        <f aca="false">IF(A15&lt;Inputs!$B$9,0,MIN(1,(A15-Inputs!$B$9+1)/Inputs!$C$32))</f>
        <v>1</v>
      </c>
      <c r="F15" s="42" t="n">
        <f aca="false">Inputs!$B$14*Inputs!$B$13*Inputs!$C$23</f>
        <v>210</v>
      </c>
      <c r="G15" s="42" t="n">
        <f aca="false">F15*Inputs!$B$12*E15</f>
        <v>1199940</v>
      </c>
      <c r="H15" s="42" t="n">
        <f aca="false">INDEX(Inputs!$C$26:$E$26,1,C15)</f>
        <v>3129257437.93</v>
      </c>
      <c r="I15" s="43" t="n">
        <f aca="false">INDEX(Inputs!$C$27:$E$27,1,C15)</f>
        <v>0.03</v>
      </c>
      <c r="J15" s="42" t="n">
        <f aca="false">H15*Inputs!$B$18*I15/12*E15</f>
        <v>78231.43594825</v>
      </c>
      <c r="K15" s="42" t="n">
        <f aca="false">G15+J15</f>
        <v>1278171.43594825</v>
      </c>
      <c r="L15" s="42" t="n">
        <f aca="false">IF(A15=1,Inputs!$C$29,0)</f>
        <v>0</v>
      </c>
      <c r="M15" s="42" t="n">
        <f aca="false">IF(A15&gt;=Inputs!$B$9,INDEX(Inputs!$C$30:$E$30,1,C15),0)</f>
        <v>600000</v>
      </c>
      <c r="N15" s="42" t="n">
        <f aca="false">L15+M15</f>
        <v>600000</v>
      </c>
      <c r="O15" s="42" t="n">
        <f aca="false">K15-N15</f>
        <v>678171.43594825</v>
      </c>
      <c r="P15" s="42" t="n">
        <f aca="false">R14</f>
        <v>3330971.3843105</v>
      </c>
      <c r="Q15" s="42" t="n">
        <f aca="false">MAX(O15-P15,0)</f>
        <v>0</v>
      </c>
      <c r="R15" s="42" t="n">
        <f aca="false">MAX(P15-O15,0)</f>
        <v>2652799.94836225</v>
      </c>
      <c r="S15" s="42" t="n">
        <f aca="false">Q15*Inputs!$B$11</f>
        <v>0</v>
      </c>
      <c r="T15" s="42" t="n">
        <f aca="false">O15-S15</f>
        <v>678171.43594825</v>
      </c>
      <c r="U15" s="42" t="n">
        <f aca="false">U14+T15</f>
        <v>-2652799.94836225</v>
      </c>
      <c r="V15" s="44" t="n">
        <f aca="false">1/(1+Inputs!$B$10)^(A15/12)</f>
        <v>0.869565217391304</v>
      </c>
      <c r="W15" s="42" t="n">
        <f aca="false">T15*V15</f>
        <v>589714.292128913</v>
      </c>
      <c r="X15" s="42" t="n">
        <f aca="false">X14+W15</f>
        <v>-2923940.16873291</v>
      </c>
      <c r="Y15" s="45" t="str">
        <f aca="false">IF(U15&gt;=0,A15,"")</f>
        <v/>
      </c>
      <c r="Z15" s="45" t="str">
        <f aca="false">IF(X15&gt;=0,A15,"")</f>
        <v/>
      </c>
    </row>
    <row r="16" customFormat="false" ht="15" hidden="false" customHeight="false" outlineLevel="0" collapsed="false">
      <c r="A16" s="39" t="n">
        <v>13</v>
      </c>
      <c r="B16" s="40" t="n">
        <f aca="false">EDATE(Inputs!$B$8,A16-1)</f>
        <v>46539</v>
      </c>
      <c r="C16" s="39" t="n">
        <f aca="false">ROUNDUP(A16/12,0)</f>
        <v>2</v>
      </c>
      <c r="D16" s="39" t="n">
        <f aca="false">MOD(A16-1,12)+1</f>
        <v>1</v>
      </c>
      <c r="E16" s="41" t="n">
        <f aca="false">IF(A16&lt;Inputs!$B$9,0,MIN(1,(A16-Inputs!$B$9+1)/Inputs!$C$32))</f>
        <v>1</v>
      </c>
      <c r="F16" s="42" t="n">
        <f aca="false">Inputs!$B$14*Inputs!$B$13*Inputs!$C$23</f>
        <v>210</v>
      </c>
      <c r="G16" s="42" t="n">
        <f aca="false">F16*Inputs!$B$12*E16</f>
        <v>1199940</v>
      </c>
      <c r="H16" s="42" t="n">
        <f aca="false">INDEX(Inputs!$C$26:$E$26,1,C16)</f>
        <v>4068034669.309</v>
      </c>
      <c r="I16" s="43" t="n">
        <f aca="false">INDEX(Inputs!$C$27:$E$27,1,C16)</f>
        <v>0.03</v>
      </c>
      <c r="J16" s="42" t="n">
        <f aca="false">H16*Inputs!$B$18*I16/12*E16</f>
        <v>101700.866732725</v>
      </c>
      <c r="K16" s="42" t="n">
        <f aca="false">G16+J16</f>
        <v>1301640.86673273</v>
      </c>
      <c r="L16" s="42" t="n">
        <f aca="false">IF(A16=1,Inputs!$C$29,0)</f>
        <v>0</v>
      </c>
      <c r="M16" s="42" t="n">
        <f aca="false">IF(A16&gt;=Inputs!$B$9,INDEX(Inputs!$C$30:$E$30,1,C16),0)</f>
        <v>640000</v>
      </c>
      <c r="N16" s="42" t="n">
        <f aca="false">L16+M16</f>
        <v>640000</v>
      </c>
      <c r="O16" s="42" t="n">
        <f aca="false">K16-N16</f>
        <v>661640.866732725</v>
      </c>
      <c r="P16" s="42" t="n">
        <f aca="false">R15</f>
        <v>2652799.94836225</v>
      </c>
      <c r="Q16" s="42" t="n">
        <f aca="false">MAX(O16-P16,0)</f>
        <v>0</v>
      </c>
      <c r="R16" s="42" t="n">
        <f aca="false">MAX(P16-O16,0)</f>
        <v>1991159.08162953</v>
      </c>
      <c r="S16" s="42" t="n">
        <f aca="false">Q16*Inputs!$B$11</f>
        <v>0</v>
      </c>
      <c r="T16" s="42" t="n">
        <f aca="false">O16-S16</f>
        <v>661640.866732725</v>
      </c>
      <c r="U16" s="42" t="n">
        <f aca="false">U15+T16</f>
        <v>-1991159.08162953</v>
      </c>
      <c r="V16" s="44" t="n">
        <f aca="false">1/(1+Inputs!$B$10)^(A16/12)</f>
        <v>0.859496289763799</v>
      </c>
      <c r="W16" s="42" t="n">
        <f aca="false">T16*V16</f>
        <v>568677.870112882</v>
      </c>
      <c r="X16" s="42" t="n">
        <f aca="false">X15+W16</f>
        <v>-2355262.29862003</v>
      </c>
      <c r="Y16" s="45" t="str">
        <f aca="false">IF(U16&gt;=0,A16,"")</f>
        <v/>
      </c>
      <c r="Z16" s="45" t="str">
        <f aca="false">IF(X16&gt;=0,A16,"")</f>
        <v/>
      </c>
    </row>
    <row r="17" customFormat="false" ht="15" hidden="false" customHeight="false" outlineLevel="0" collapsed="false">
      <c r="A17" s="39" t="n">
        <v>14</v>
      </c>
      <c r="B17" s="40" t="n">
        <f aca="false">EDATE(Inputs!$B$8,A17-1)</f>
        <v>46569</v>
      </c>
      <c r="C17" s="39" t="n">
        <f aca="false">ROUNDUP(A17/12,0)</f>
        <v>2</v>
      </c>
      <c r="D17" s="39" t="n">
        <f aca="false">MOD(A17-1,12)+1</f>
        <v>2</v>
      </c>
      <c r="E17" s="41" t="n">
        <f aca="false">IF(A17&lt;Inputs!$B$9,0,MIN(1,(A17-Inputs!$B$9+1)/Inputs!$C$32))</f>
        <v>1</v>
      </c>
      <c r="F17" s="42" t="n">
        <f aca="false">Inputs!$B$14*Inputs!$B$13*Inputs!$C$23</f>
        <v>210</v>
      </c>
      <c r="G17" s="42" t="n">
        <f aca="false">F17*Inputs!$B$12*E17</f>
        <v>1199940</v>
      </c>
      <c r="H17" s="42" t="n">
        <f aca="false">INDEX(Inputs!$C$26:$E$26,1,C17)</f>
        <v>4068034669.309</v>
      </c>
      <c r="I17" s="43" t="n">
        <f aca="false">INDEX(Inputs!$C$27:$E$27,1,C17)</f>
        <v>0.03</v>
      </c>
      <c r="J17" s="42" t="n">
        <f aca="false">H17*Inputs!$B$18*I17/12*E17</f>
        <v>101700.866732725</v>
      </c>
      <c r="K17" s="42" t="n">
        <f aca="false">G17+J17</f>
        <v>1301640.86673273</v>
      </c>
      <c r="L17" s="42" t="n">
        <f aca="false">IF(A17=1,Inputs!$C$29,0)</f>
        <v>0</v>
      </c>
      <c r="M17" s="42" t="n">
        <f aca="false">IF(A17&gt;=Inputs!$B$9,INDEX(Inputs!$C$30:$E$30,1,C17),0)</f>
        <v>640000</v>
      </c>
      <c r="N17" s="42" t="n">
        <f aca="false">L17+M17</f>
        <v>640000</v>
      </c>
      <c r="O17" s="42" t="n">
        <f aca="false">K17-N17</f>
        <v>661640.866732725</v>
      </c>
      <c r="P17" s="42" t="n">
        <f aca="false">R16</f>
        <v>1991159.08162953</v>
      </c>
      <c r="Q17" s="42" t="n">
        <f aca="false">MAX(O17-P17,0)</f>
        <v>0</v>
      </c>
      <c r="R17" s="42" t="n">
        <f aca="false">MAX(P17-O17,0)</f>
        <v>1329518.2148968</v>
      </c>
      <c r="S17" s="42" t="n">
        <f aca="false">Q17*Inputs!$B$11</f>
        <v>0</v>
      </c>
      <c r="T17" s="42" t="n">
        <f aca="false">O17-S17</f>
        <v>661640.866732725</v>
      </c>
      <c r="U17" s="42" t="n">
        <f aca="false">U16+T17</f>
        <v>-1329518.2148968</v>
      </c>
      <c r="V17" s="44" t="n">
        <f aca="false">1/(1+Inputs!$B$10)^(A17/12)</f>
        <v>0.849543952935397</v>
      </c>
      <c r="W17" s="42" t="n">
        <f aca="false">T17*V17</f>
        <v>562092.997347722</v>
      </c>
      <c r="X17" s="42" t="n">
        <f aca="false">X16+W17</f>
        <v>-1793169.30127231</v>
      </c>
      <c r="Y17" s="45" t="str">
        <f aca="false">IF(U17&gt;=0,A17,"")</f>
        <v/>
      </c>
      <c r="Z17" s="45" t="str">
        <f aca="false">IF(X17&gt;=0,A17,"")</f>
        <v/>
      </c>
    </row>
    <row r="18" customFormat="false" ht="15" hidden="false" customHeight="false" outlineLevel="0" collapsed="false">
      <c r="A18" s="39" t="n">
        <v>15</v>
      </c>
      <c r="B18" s="40" t="n">
        <f aca="false">EDATE(Inputs!$B$8,A18-1)</f>
        <v>46600</v>
      </c>
      <c r="C18" s="39" t="n">
        <f aca="false">ROUNDUP(A18/12,0)</f>
        <v>2</v>
      </c>
      <c r="D18" s="39" t="n">
        <f aca="false">MOD(A18-1,12)+1</f>
        <v>3</v>
      </c>
      <c r="E18" s="41" t="n">
        <f aca="false">IF(A18&lt;Inputs!$B$9,0,MIN(1,(A18-Inputs!$B$9+1)/Inputs!$C$32))</f>
        <v>1</v>
      </c>
      <c r="F18" s="42" t="n">
        <f aca="false">Inputs!$B$14*Inputs!$B$13*Inputs!$C$23</f>
        <v>210</v>
      </c>
      <c r="G18" s="42" t="n">
        <f aca="false">F18*Inputs!$B$12*E18</f>
        <v>1199940</v>
      </c>
      <c r="H18" s="42" t="n">
        <f aca="false">INDEX(Inputs!$C$26:$E$26,1,C18)</f>
        <v>4068034669.309</v>
      </c>
      <c r="I18" s="43" t="n">
        <f aca="false">INDEX(Inputs!$C$27:$E$27,1,C18)</f>
        <v>0.03</v>
      </c>
      <c r="J18" s="42" t="n">
        <f aca="false">H18*Inputs!$B$18*I18/12*E18</f>
        <v>101700.866732725</v>
      </c>
      <c r="K18" s="42" t="n">
        <f aca="false">G18+J18</f>
        <v>1301640.86673273</v>
      </c>
      <c r="L18" s="42" t="n">
        <f aca="false">IF(A18=1,Inputs!$C$29,0)</f>
        <v>0</v>
      </c>
      <c r="M18" s="42" t="n">
        <f aca="false">IF(A18&gt;=Inputs!$B$9,INDEX(Inputs!$C$30:$E$30,1,C18),0)</f>
        <v>640000</v>
      </c>
      <c r="N18" s="42" t="n">
        <f aca="false">L18+M18</f>
        <v>640000</v>
      </c>
      <c r="O18" s="42" t="n">
        <f aca="false">K18-N18</f>
        <v>661640.866732725</v>
      </c>
      <c r="P18" s="42" t="n">
        <f aca="false">R17</f>
        <v>1329518.2148968</v>
      </c>
      <c r="Q18" s="42" t="n">
        <f aca="false">MAX(O18-P18,0)</f>
        <v>0</v>
      </c>
      <c r="R18" s="42" t="n">
        <f aca="false">MAX(P18-O18,0)</f>
        <v>667877.348164076</v>
      </c>
      <c r="S18" s="42" t="n">
        <f aca="false">Q18*Inputs!$B$11</f>
        <v>0</v>
      </c>
      <c r="T18" s="42" t="n">
        <f aca="false">O18-S18</f>
        <v>661640.866732725</v>
      </c>
      <c r="U18" s="42" t="n">
        <f aca="false">U17+T18</f>
        <v>-667877.348164076</v>
      </c>
      <c r="V18" s="44" t="n">
        <f aca="false">1/(1+Inputs!$B$10)^(A18/12)</f>
        <v>0.839706856870133</v>
      </c>
      <c r="W18" s="42" t="n">
        <f aca="false">T18*V18</f>
        <v>555584.372580967</v>
      </c>
      <c r="X18" s="42" t="n">
        <f aca="false">X17+W18</f>
        <v>-1237584.92869134</v>
      </c>
      <c r="Y18" s="45" t="str">
        <f aca="false">IF(U18&gt;=0,A18,"")</f>
        <v/>
      </c>
      <c r="Z18" s="45" t="str">
        <f aca="false">IF(X18&gt;=0,A18,"")</f>
        <v/>
      </c>
    </row>
    <row r="19" customFormat="false" ht="15" hidden="false" customHeight="false" outlineLevel="0" collapsed="false">
      <c r="A19" s="39" t="n">
        <v>16</v>
      </c>
      <c r="B19" s="40" t="n">
        <f aca="false">EDATE(Inputs!$B$8,A19-1)</f>
        <v>46631</v>
      </c>
      <c r="C19" s="39" t="n">
        <f aca="false">ROUNDUP(A19/12,0)</f>
        <v>2</v>
      </c>
      <c r="D19" s="39" t="n">
        <f aca="false">MOD(A19-1,12)+1</f>
        <v>4</v>
      </c>
      <c r="E19" s="41" t="n">
        <f aca="false">IF(A19&lt;Inputs!$B$9,0,MIN(1,(A19-Inputs!$B$9+1)/Inputs!$C$32))</f>
        <v>1</v>
      </c>
      <c r="F19" s="42" t="n">
        <f aca="false">Inputs!$B$14*Inputs!$B$13*Inputs!$C$23</f>
        <v>210</v>
      </c>
      <c r="G19" s="42" t="n">
        <f aca="false">F19*Inputs!$B$12*E19</f>
        <v>1199940</v>
      </c>
      <c r="H19" s="42" t="n">
        <f aca="false">INDEX(Inputs!$C$26:$E$26,1,C19)</f>
        <v>4068034669.309</v>
      </c>
      <c r="I19" s="43" t="n">
        <f aca="false">INDEX(Inputs!$C$27:$E$27,1,C19)</f>
        <v>0.03</v>
      </c>
      <c r="J19" s="42" t="n">
        <f aca="false">H19*Inputs!$B$18*I19/12*E19</f>
        <v>101700.866732725</v>
      </c>
      <c r="K19" s="42" t="n">
        <f aca="false">G19+J19</f>
        <v>1301640.86673273</v>
      </c>
      <c r="L19" s="42" t="n">
        <f aca="false">IF(A19=1,Inputs!$C$29,0)</f>
        <v>0</v>
      </c>
      <c r="M19" s="42" t="n">
        <f aca="false">IF(A19&gt;=Inputs!$B$9,INDEX(Inputs!$C$30:$E$30,1,C19),0)</f>
        <v>640000</v>
      </c>
      <c r="N19" s="42" t="n">
        <f aca="false">L19+M19</f>
        <v>640000</v>
      </c>
      <c r="O19" s="42" t="n">
        <f aca="false">K19-N19</f>
        <v>661640.866732725</v>
      </c>
      <c r="P19" s="42" t="n">
        <f aca="false">R18</f>
        <v>667877.348164076</v>
      </c>
      <c r="Q19" s="42" t="n">
        <f aca="false">MAX(O19-P19,0)</f>
        <v>0</v>
      </c>
      <c r="R19" s="42" t="n">
        <f aca="false">MAX(P19-O19,0)</f>
        <v>6236.48143135104</v>
      </c>
      <c r="S19" s="42" t="n">
        <f aca="false">Q19*Inputs!$B$11</f>
        <v>0</v>
      </c>
      <c r="T19" s="42" t="n">
        <f aca="false">O19-S19</f>
        <v>661640.866732725</v>
      </c>
      <c r="U19" s="42" t="n">
        <f aca="false">U18+T19</f>
        <v>-6236.48143135104</v>
      </c>
      <c r="V19" s="44" t="n">
        <f aca="false">1/(1+Inputs!$B$10)^(A19/12)</f>
        <v>0.829983667164466</v>
      </c>
      <c r="W19" s="42" t="n">
        <f aca="false">T19*V19</f>
        <v>549151.112916703</v>
      </c>
      <c r="X19" s="42" t="n">
        <f aca="false">X18+W19</f>
        <v>-688433.815774642</v>
      </c>
      <c r="Y19" s="45" t="str">
        <f aca="false">IF(U19&gt;=0,A19,"")</f>
        <v/>
      </c>
      <c r="Z19" s="45" t="str">
        <f aca="false">IF(X19&gt;=0,A19,"")</f>
        <v/>
      </c>
    </row>
    <row r="20" customFormat="false" ht="15" hidden="false" customHeight="false" outlineLevel="0" collapsed="false">
      <c r="A20" s="39" t="n">
        <v>17</v>
      </c>
      <c r="B20" s="40" t="n">
        <f aca="false">EDATE(Inputs!$B$8,A20-1)</f>
        <v>46661</v>
      </c>
      <c r="C20" s="39" t="n">
        <f aca="false">ROUNDUP(A20/12,0)</f>
        <v>2</v>
      </c>
      <c r="D20" s="39" t="n">
        <f aca="false">MOD(A20-1,12)+1</f>
        <v>5</v>
      </c>
      <c r="E20" s="41" t="n">
        <f aca="false">IF(A20&lt;Inputs!$B$9,0,MIN(1,(A20-Inputs!$B$9+1)/Inputs!$C$32))</f>
        <v>1</v>
      </c>
      <c r="F20" s="42" t="n">
        <f aca="false">Inputs!$B$14*Inputs!$B$13*Inputs!$C$23</f>
        <v>210</v>
      </c>
      <c r="G20" s="42" t="n">
        <f aca="false">F20*Inputs!$B$12*E20</f>
        <v>1199940</v>
      </c>
      <c r="H20" s="42" t="n">
        <f aca="false">INDEX(Inputs!$C$26:$E$26,1,C20)</f>
        <v>4068034669.309</v>
      </c>
      <c r="I20" s="43" t="n">
        <f aca="false">INDEX(Inputs!$C$27:$E$27,1,C20)</f>
        <v>0.03</v>
      </c>
      <c r="J20" s="42" t="n">
        <f aca="false">H20*Inputs!$B$18*I20/12*E20</f>
        <v>101700.866732725</v>
      </c>
      <c r="K20" s="42" t="n">
        <f aca="false">G20+J20</f>
        <v>1301640.86673273</v>
      </c>
      <c r="L20" s="42" t="n">
        <f aca="false">IF(A20=1,Inputs!$C$29,0)</f>
        <v>0</v>
      </c>
      <c r="M20" s="42" t="n">
        <f aca="false">IF(A20&gt;=Inputs!$B$9,INDEX(Inputs!$C$30:$E$30,1,C20),0)</f>
        <v>640000</v>
      </c>
      <c r="N20" s="42" t="n">
        <f aca="false">L20+M20</f>
        <v>640000</v>
      </c>
      <c r="O20" s="42" t="n">
        <f aca="false">K20-N20</f>
        <v>661640.866732725</v>
      </c>
      <c r="P20" s="42" t="n">
        <f aca="false">R19</f>
        <v>6236.48143135104</v>
      </c>
      <c r="Q20" s="42" t="n">
        <f aca="false">MAX(O20-P20,0)</f>
        <v>655404.385301374</v>
      </c>
      <c r="R20" s="42" t="n">
        <f aca="false">MAX(P20-O20,0)</f>
        <v>0</v>
      </c>
      <c r="S20" s="42" t="n">
        <f aca="false">Q20*Inputs!$B$11</f>
        <v>131080.877060275</v>
      </c>
      <c r="T20" s="42" t="n">
        <f aca="false">O20-S20</f>
        <v>530559.98967245</v>
      </c>
      <c r="U20" s="42" t="n">
        <f aca="false">U19+T20</f>
        <v>524323.508241099</v>
      </c>
      <c r="V20" s="44" t="n">
        <f aca="false">1/(1+Inputs!$B$10)^(A20/12)</f>
        <v>0.820373064866272</v>
      </c>
      <c r="W20" s="42" t="n">
        <f aca="false">T20*V20</f>
        <v>435257.124823006</v>
      </c>
      <c r="X20" s="42" t="n">
        <f aca="false">X19+W20</f>
        <v>-253176.690951637</v>
      </c>
      <c r="Y20" s="46" t="n">
        <f aca="false">IF(U20&gt;=0,A20,"")</f>
        <v>17</v>
      </c>
      <c r="Z20" s="45" t="str">
        <f aca="false">IF(X20&gt;=0,A20,"")</f>
        <v/>
      </c>
    </row>
    <row r="21" customFormat="false" ht="15" hidden="false" customHeight="false" outlineLevel="0" collapsed="false">
      <c r="A21" s="39" t="n">
        <v>18</v>
      </c>
      <c r="B21" s="40" t="n">
        <f aca="false">EDATE(Inputs!$B$8,A21-1)</f>
        <v>46692</v>
      </c>
      <c r="C21" s="39" t="n">
        <f aca="false">ROUNDUP(A21/12,0)</f>
        <v>2</v>
      </c>
      <c r="D21" s="39" t="n">
        <f aca="false">MOD(A21-1,12)+1</f>
        <v>6</v>
      </c>
      <c r="E21" s="41" t="n">
        <f aca="false">IF(A21&lt;Inputs!$B$9,0,MIN(1,(A21-Inputs!$B$9+1)/Inputs!$C$32))</f>
        <v>1</v>
      </c>
      <c r="F21" s="42" t="n">
        <f aca="false">Inputs!$B$14*Inputs!$B$13*Inputs!$C$23</f>
        <v>210</v>
      </c>
      <c r="G21" s="42" t="n">
        <f aca="false">F21*Inputs!$B$12*E21</f>
        <v>1199940</v>
      </c>
      <c r="H21" s="42" t="n">
        <f aca="false">INDEX(Inputs!$C$26:$E$26,1,C21)</f>
        <v>4068034669.309</v>
      </c>
      <c r="I21" s="43" t="n">
        <f aca="false">INDEX(Inputs!$C$27:$E$27,1,C21)</f>
        <v>0.03</v>
      </c>
      <c r="J21" s="42" t="n">
        <f aca="false">H21*Inputs!$B$18*I21/12*E21</f>
        <v>101700.866732725</v>
      </c>
      <c r="K21" s="42" t="n">
        <f aca="false">G21+J21</f>
        <v>1301640.86673273</v>
      </c>
      <c r="L21" s="42" t="n">
        <f aca="false">IF(A21=1,Inputs!$C$29,0)</f>
        <v>0</v>
      </c>
      <c r="M21" s="42" t="n">
        <f aca="false">IF(A21&gt;=Inputs!$B$9,INDEX(Inputs!$C$30:$E$30,1,C21),0)</f>
        <v>640000</v>
      </c>
      <c r="N21" s="42" t="n">
        <f aca="false">L21+M21</f>
        <v>640000</v>
      </c>
      <c r="O21" s="42" t="n">
        <f aca="false">K21-N21</f>
        <v>661640.866732725</v>
      </c>
      <c r="P21" s="42" t="n">
        <f aca="false">R20</f>
        <v>0</v>
      </c>
      <c r="Q21" s="42" t="n">
        <f aca="false">MAX(O21-P21,0)</f>
        <v>661640.866732725</v>
      </c>
      <c r="R21" s="42" t="n">
        <f aca="false">MAX(P21-O21,0)</f>
        <v>0</v>
      </c>
      <c r="S21" s="42" t="n">
        <f aca="false">Q21*Inputs!$B$11</f>
        <v>132328.173346545</v>
      </c>
      <c r="T21" s="42" t="n">
        <f aca="false">O21-S21</f>
        <v>529312.69338618</v>
      </c>
      <c r="U21" s="42" t="n">
        <f aca="false">U20+T21</f>
        <v>1053636.20162728</v>
      </c>
      <c r="V21" s="44" t="n">
        <f aca="false">1/(1+Inputs!$B$10)^(A21/12)</f>
        <v>0.810873746295925</v>
      </c>
      <c r="W21" s="42" t="n">
        <f aca="false">T21*V21</f>
        <v>429205.766648038</v>
      </c>
      <c r="X21" s="42" t="n">
        <f aca="false">X20+W21</f>
        <v>176029.075696402</v>
      </c>
      <c r="Y21" s="46" t="n">
        <f aca="false">IF(U21&gt;=0,A21,"")</f>
        <v>18</v>
      </c>
      <c r="Z21" s="46" t="n">
        <f aca="false">IF(X21&gt;=0,A21,"")</f>
        <v>18</v>
      </c>
    </row>
    <row r="22" customFormat="false" ht="15" hidden="false" customHeight="false" outlineLevel="0" collapsed="false">
      <c r="A22" s="39" t="n">
        <v>19</v>
      </c>
      <c r="B22" s="40" t="n">
        <f aca="false">EDATE(Inputs!$B$8,A22-1)</f>
        <v>46722</v>
      </c>
      <c r="C22" s="39" t="n">
        <f aca="false">ROUNDUP(A22/12,0)</f>
        <v>2</v>
      </c>
      <c r="D22" s="39" t="n">
        <f aca="false">MOD(A22-1,12)+1</f>
        <v>7</v>
      </c>
      <c r="E22" s="41" t="n">
        <f aca="false">IF(A22&lt;Inputs!$B$9,0,MIN(1,(A22-Inputs!$B$9+1)/Inputs!$C$32))</f>
        <v>1</v>
      </c>
      <c r="F22" s="42" t="n">
        <f aca="false">Inputs!$B$14*Inputs!$B$13*Inputs!$C$23</f>
        <v>210</v>
      </c>
      <c r="G22" s="42" t="n">
        <f aca="false">F22*Inputs!$B$12*E22</f>
        <v>1199940</v>
      </c>
      <c r="H22" s="42" t="n">
        <f aca="false">INDEX(Inputs!$C$26:$E$26,1,C22)</f>
        <v>4068034669.309</v>
      </c>
      <c r="I22" s="43" t="n">
        <f aca="false">INDEX(Inputs!$C$27:$E$27,1,C22)</f>
        <v>0.03</v>
      </c>
      <c r="J22" s="42" t="n">
        <f aca="false">H22*Inputs!$B$18*I22/12*E22</f>
        <v>101700.866732725</v>
      </c>
      <c r="K22" s="42" t="n">
        <f aca="false">G22+J22</f>
        <v>1301640.86673273</v>
      </c>
      <c r="L22" s="42" t="n">
        <f aca="false">IF(A22=1,Inputs!$C$29,0)</f>
        <v>0</v>
      </c>
      <c r="M22" s="42" t="n">
        <f aca="false">IF(A22&gt;=Inputs!$B$9,INDEX(Inputs!$C$30:$E$30,1,C22),0)</f>
        <v>640000</v>
      </c>
      <c r="N22" s="42" t="n">
        <f aca="false">L22+M22</f>
        <v>640000</v>
      </c>
      <c r="O22" s="42" t="n">
        <f aca="false">K22-N22</f>
        <v>661640.866732725</v>
      </c>
      <c r="P22" s="42" t="n">
        <f aca="false">R21</f>
        <v>0</v>
      </c>
      <c r="Q22" s="42" t="n">
        <f aca="false">MAX(O22-P22,0)</f>
        <v>661640.866732725</v>
      </c>
      <c r="R22" s="42" t="n">
        <f aca="false">MAX(P22-O22,0)</f>
        <v>0</v>
      </c>
      <c r="S22" s="42" t="n">
        <f aca="false">Q22*Inputs!$B$11</f>
        <v>132328.173346545</v>
      </c>
      <c r="T22" s="42" t="n">
        <f aca="false">O22-S22</f>
        <v>529312.69338618</v>
      </c>
      <c r="U22" s="42" t="n">
        <f aca="false">U21+T22</f>
        <v>1582948.89501346</v>
      </c>
      <c r="V22" s="44" t="n">
        <f aca="false">1/(1+Inputs!$B$10)^(A22/12)</f>
        <v>0.801484422869453</v>
      </c>
      <c r="W22" s="42" t="n">
        <f aca="false">T22*V22</f>
        <v>424235.878576098</v>
      </c>
      <c r="X22" s="42" t="n">
        <f aca="false">X21+W22</f>
        <v>600264.9542725</v>
      </c>
      <c r="Y22" s="46" t="n">
        <f aca="false">IF(U22&gt;=0,A22,"")</f>
        <v>19</v>
      </c>
      <c r="Z22" s="46" t="n">
        <f aca="false">IF(X22&gt;=0,A22,"")</f>
        <v>19</v>
      </c>
    </row>
    <row r="23" customFormat="false" ht="15" hidden="false" customHeight="false" outlineLevel="0" collapsed="false">
      <c r="A23" s="39" t="n">
        <v>20</v>
      </c>
      <c r="B23" s="40" t="n">
        <f aca="false">EDATE(Inputs!$B$8,A23-1)</f>
        <v>46753</v>
      </c>
      <c r="C23" s="39" t="n">
        <f aca="false">ROUNDUP(A23/12,0)</f>
        <v>2</v>
      </c>
      <c r="D23" s="39" t="n">
        <f aca="false">MOD(A23-1,12)+1</f>
        <v>8</v>
      </c>
      <c r="E23" s="41" t="n">
        <f aca="false">IF(A23&lt;Inputs!$B$9,0,MIN(1,(A23-Inputs!$B$9+1)/Inputs!$C$32))</f>
        <v>1</v>
      </c>
      <c r="F23" s="42" t="n">
        <f aca="false">Inputs!$B$14*Inputs!$B$13*Inputs!$C$23</f>
        <v>210</v>
      </c>
      <c r="G23" s="42" t="n">
        <f aca="false">F23*Inputs!$B$12*E23</f>
        <v>1199940</v>
      </c>
      <c r="H23" s="42" t="n">
        <f aca="false">INDEX(Inputs!$C$26:$E$26,1,C23)</f>
        <v>4068034669.309</v>
      </c>
      <c r="I23" s="43" t="n">
        <f aca="false">INDEX(Inputs!$C$27:$E$27,1,C23)</f>
        <v>0.03</v>
      </c>
      <c r="J23" s="42" t="n">
        <f aca="false">H23*Inputs!$B$18*I23/12*E23</f>
        <v>101700.866732725</v>
      </c>
      <c r="K23" s="42" t="n">
        <f aca="false">G23+J23</f>
        <v>1301640.86673273</v>
      </c>
      <c r="L23" s="42" t="n">
        <f aca="false">IF(A23=1,Inputs!$C$29,0)</f>
        <v>0</v>
      </c>
      <c r="M23" s="42" t="n">
        <f aca="false">IF(A23&gt;=Inputs!$B$9,INDEX(Inputs!$C$30:$E$30,1,C23),0)</f>
        <v>640000</v>
      </c>
      <c r="N23" s="42" t="n">
        <f aca="false">L23+M23</f>
        <v>640000</v>
      </c>
      <c r="O23" s="42" t="n">
        <f aca="false">K23-N23</f>
        <v>661640.866732725</v>
      </c>
      <c r="P23" s="42" t="n">
        <f aca="false">R22</f>
        <v>0</v>
      </c>
      <c r="Q23" s="42" t="n">
        <f aca="false">MAX(O23-P23,0)</f>
        <v>661640.866732725</v>
      </c>
      <c r="R23" s="42" t="n">
        <f aca="false">MAX(P23-O23,0)</f>
        <v>0</v>
      </c>
      <c r="S23" s="42" t="n">
        <f aca="false">Q23*Inputs!$B$11</f>
        <v>132328.173346545</v>
      </c>
      <c r="T23" s="42" t="n">
        <f aca="false">O23-S23</f>
        <v>529312.69338618</v>
      </c>
      <c r="U23" s="42" t="n">
        <f aca="false">U22+T23</f>
        <v>2112261.58839964</v>
      </c>
      <c r="V23" s="44" t="n">
        <f aca="false">1/(1+Inputs!$B$10)^(A23/12)</f>
        <v>0.792203820923741</v>
      </c>
      <c r="W23" s="42" t="n">
        <f aca="false">T23*V23</f>
        <v>419323.538163968</v>
      </c>
      <c r="X23" s="42" t="n">
        <f aca="false">X22+W23</f>
        <v>1019588.49243647</v>
      </c>
      <c r="Y23" s="46" t="n">
        <f aca="false">IF(U23&gt;=0,A23,"")</f>
        <v>20</v>
      </c>
      <c r="Z23" s="46" t="n">
        <f aca="false">IF(X23&gt;=0,A23,"")</f>
        <v>20</v>
      </c>
    </row>
    <row r="24" customFormat="false" ht="15" hidden="false" customHeight="false" outlineLevel="0" collapsed="false">
      <c r="A24" s="39" t="n">
        <v>21</v>
      </c>
      <c r="B24" s="40" t="n">
        <f aca="false">EDATE(Inputs!$B$8,A24-1)</f>
        <v>46784</v>
      </c>
      <c r="C24" s="39" t="n">
        <f aca="false">ROUNDUP(A24/12,0)</f>
        <v>2</v>
      </c>
      <c r="D24" s="39" t="n">
        <f aca="false">MOD(A24-1,12)+1</f>
        <v>9</v>
      </c>
      <c r="E24" s="41" t="n">
        <f aca="false">IF(A24&lt;Inputs!$B$9,0,MIN(1,(A24-Inputs!$B$9+1)/Inputs!$C$32))</f>
        <v>1</v>
      </c>
      <c r="F24" s="42" t="n">
        <f aca="false">Inputs!$B$14*Inputs!$B$13*Inputs!$C$23</f>
        <v>210</v>
      </c>
      <c r="G24" s="42" t="n">
        <f aca="false">F24*Inputs!$B$12*E24</f>
        <v>1199940</v>
      </c>
      <c r="H24" s="42" t="n">
        <f aca="false">INDEX(Inputs!$C$26:$E$26,1,C24)</f>
        <v>4068034669.309</v>
      </c>
      <c r="I24" s="43" t="n">
        <f aca="false">INDEX(Inputs!$C$27:$E$27,1,C24)</f>
        <v>0.03</v>
      </c>
      <c r="J24" s="42" t="n">
        <f aca="false">H24*Inputs!$B$18*I24/12*E24</f>
        <v>101700.866732725</v>
      </c>
      <c r="K24" s="42" t="n">
        <f aca="false">G24+J24</f>
        <v>1301640.86673273</v>
      </c>
      <c r="L24" s="42" t="n">
        <f aca="false">IF(A24=1,Inputs!$C$29,0)</f>
        <v>0</v>
      </c>
      <c r="M24" s="42" t="n">
        <f aca="false">IF(A24&gt;=Inputs!$B$9,INDEX(Inputs!$C$30:$E$30,1,C24),0)</f>
        <v>640000</v>
      </c>
      <c r="N24" s="42" t="n">
        <f aca="false">L24+M24</f>
        <v>640000</v>
      </c>
      <c r="O24" s="42" t="n">
        <f aca="false">K24-N24</f>
        <v>661640.866732725</v>
      </c>
      <c r="P24" s="42" t="n">
        <f aca="false">R23</f>
        <v>0</v>
      </c>
      <c r="Q24" s="42" t="n">
        <f aca="false">MAX(O24-P24,0)</f>
        <v>661640.866732725</v>
      </c>
      <c r="R24" s="42" t="n">
        <f aca="false">MAX(P24-O24,0)</f>
        <v>0</v>
      </c>
      <c r="S24" s="42" t="n">
        <f aca="false">Q24*Inputs!$B$11</f>
        <v>132328.173346545</v>
      </c>
      <c r="T24" s="42" t="n">
        <f aca="false">O24-S24</f>
        <v>529312.69338618</v>
      </c>
      <c r="U24" s="42" t="n">
        <f aca="false">U23+T24</f>
        <v>2641574.28178582</v>
      </c>
      <c r="V24" s="44" t="n">
        <f aca="false">1/(1+Inputs!$B$10)^(A24/12)</f>
        <v>0.78303068154376</v>
      </c>
      <c r="W24" s="42" t="n">
        <f aca="false">T24*V24</f>
        <v>414468.079051944</v>
      </c>
      <c r="X24" s="42" t="n">
        <f aca="false">X23+W24</f>
        <v>1434056.57148841</v>
      </c>
      <c r="Y24" s="46" t="n">
        <f aca="false">IF(U24&gt;=0,A24,"")</f>
        <v>21</v>
      </c>
      <c r="Z24" s="46" t="n">
        <f aca="false">IF(X24&gt;=0,A24,"")</f>
        <v>21</v>
      </c>
    </row>
    <row r="25" customFormat="false" ht="15" hidden="false" customHeight="false" outlineLevel="0" collapsed="false">
      <c r="A25" s="39" t="n">
        <v>22</v>
      </c>
      <c r="B25" s="40" t="n">
        <f aca="false">EDATE(Inputs!$B$8,A25-1)</f>
        <v>46813</v>
      </c>
      <c r="C25" s="39" t="n">
        <f aca="false">ROUNDUP(A25/12,0)</f>
        <v>2</v>
      </c>
      <c r="D25" s="39" t="n">
        <f aca="false">MOD(A25-1,12)+1</f>
        <v>10</v>
      </c>
      <c r="E25" s="41" t="n">
        <f aca="false">IF(A25&lt;Inputs!$B$9,0,MIN(1,(A25-Inputs!$B$9+1)/Inputs!$C$32))</f>
        <v>1</v>
      </c>
      <c r="F25" s="42" t="n">
        <f aca="false">Inputs!$B$14*Inputs!$B$13*Inputs!$C$23</f>
        <v>210</v>
      </c>
      <c r="G25" s="42" t="n">
        <f aca="false">F25*Inputs!$B$12*E25</f>
        <v>1199940</v>
      </c>
      <c r="H25" s="42" t="n">
        <f aca="false">INDEX(Inputs!$C$26:$E$26,1,C25)</f>
        <v>4068034669.309</v>
      </c>
      <c r="I25" s="43" t="n">
        <f aca="false">INDEX(Inputs!$C$27:$E$27,1,C25)</f>
        <v>0.03</v>
      </c>
      <c r="J25" s="42" t="n">
        <f aca="false">H25*Inputs!$B$18*I25/12*E25</f>
        <v>101700.866732725</v>
      </c>
      <c r="K25" s="42" t="n">
        <f aca="false">G25+J25</f>
        <v>1301640.86673273</v>
      </c>
      <c r="L25" s="42" t="n">
        <f aca="false">IF(A25=1,Inputs!$C$29,0)</f>
        <v>0</v>
      </c>
      <c r="M25" s="42" t="n">
        <f aca="false">IF(A25&gt;=Inputs!$B$9,INDEX(Inputs!$C$30:$E$30,1,C25),0)</f>
        <v>640000</v>
      </c>
      <c r="N25" s="42" t="n">
        <f aca="false">L25+M25</f>
        <v>640000</v>
      </c>
      <c r="O25" s="42" t="n">
        <f aca="false">K25-N25</f>
        <v>661640.866732725</v>
      </c>
      <c r="P25" s="42" t="n">
        <f aca="false">R24</f>
        <v>0</v>
      </c>
      <c r="Q25" s="42" t="n">
        <f aca="false">MAX(O25-P25,0)</f>
        <v>661640.866732725</v>
      </c>
      <c r="R25" s="42" t="n">
        <f aca="false">MAX(P25-O25,0)</f>
        <v>0</v>
      </c>
      <c r="S25" s="42" t="n">
        <f aca="false">Q25*Inputs!$B$11</f>
        <v>132328.173346545</v>
      </c>
      <c r="T25" s="42" t="n">
        <f aca="false">O25-S25</f>
        <v>529312.69338618</v>
      </c>
      <c r="U25" s="42" t="n">
        <f aca="false">U24+T25</f>
        <v>3170886.975172</v>
      </c>
      <c r="V25" s="44" t="n">
        <f aca="false">1/(1+Inputs!$B$10)^(A25/12)</f>
        <v>0.773963760391793</v>
      </c>
      <c r="W25" s="42" t="n">
        <f aca="false">T25*V25</f>
        <v>409668.842596276</v>
      </c>
      <c r="X25" s="42" t="n">
        <f aca="false">X24+W25</f>
        <v>1843725.41408469</v>
      </c>
      <c r="Y25" s="46" t="n">
        <f aca="false">IF(U25&gt;=0,A25,"")</f>
        <v>22</v>
      </c>
      <c r="Z25" s="46" t="n">
        <f aca="false">IF(X25&gt;=0,A25,"")</f>
        <v>22</v>
      </c>
    </row>
    <row r="26" customFormat="false" ht="15" hidden="false" customHeight="false" outlineLevel="0" collapsed="false">
      <c r="A26" s="39" t="n">
        <v>23</v>
      </c>
      <c r="B26" s="40" t="n">
        <f aca="false">EDATE(Inputs!$B$8,A26-1)</f>
        <v>46844</v>
      </c>
      <c r="C26" s="39" t="n">
        <f aca="false">ROUNDUP(A26/12,0)</f>
        <v>2</v>
      </c>
      <c r="D26" s="39" t="n">
        <f aca="false">MOD(A26-1,12)+1</f>
        <v>11</v>
      </c>
      <c r="E26" s="41" t="n">
        <f aca="false">IF(A26&lt;Inputs!$B$9,0,MIN(1,(A26-Inputs!$B$9+1)/Inputs!$C$32))</f>
        <v>1</v>
      </c>
      <c r="F26" s="42" t="n">
        <f aca="false">Inputs!$B$14*Inputs!$B$13*Inputs!$C$23</f>
        <v>210</v>
      </c>
      <c r="G26" s="42" t="n">
        <f aca="false">F26*Inputs!$B$12*E26</f>
        <v>1199940</v>
      </c>
      <c r="H26" s="42" t="n">
        <f aca="false">INDEX(Inputs!$C$26:$E$26,1,C26)</f>
        <v>4068034669.309</v>
      </c>
      <c r="I26" s="43" t="n">
        <f aca="false">INDEX(Inputs!$C$27:$E$27,1,C26)</f>
        <v>0.03</v>
      </c>
      <c r="J26" s="42" t="n">
        <f aca="false">H26*Inputs!$B$18*I26/12*E26</f>
        <v>101700.866732725</v>
      </c>
      <c r="K26" s="42" t="n">
        <f aca="false">G26+J26</f>
        <v>1301640.86673273</v>
      </c>
      <c r="L26" s="42" t="n">
        <f aca="false">IF(A26=1,Inputs!$C$29,0)</f>
        <v>0</v>
      </c>
      <c r="M26" s="42" t="n">
        <f aca="false">IF(A26&gt;=Inputs!$B$9,INDEX(Inputs!$C$30:$E$30,1,C26),0)</f>
        <v>640000</v>
      </c>
      <c r="N26" s="42" t="n">
        <f aca="false">L26+M26</f>
        <v>640000</v>
      </c>
      <c r="O26" s="42" t="n">
        <f aca="false">K26-N26</f>
        <v>661640.866732725</v>
      </c>
      <c r="P26" s="42" t="n">
        <f aca="false">R25</f>
        <v>0</v>
      </c>
      <c r="Q26" s="42" t="n">
        <f aca="false">MAX(O26-P26,0)</f>
        <v>661640.866732725</v>
      </c>
      <c r="R26" s="42" t="n">
        <f aca="false">MAX(P26-O26,0)</f>
        <v>0</v>
      </c>
      <c r="S26" s="42" t="n">
        <f aca="false">Q26*Inputs!$B$11</f>
        <v>132328.173346545</v>
      </c>
      <c r="T26" s="42" t="n">
        <f aca="false">O26-S26</f>
        <v>529312.69338618</v>
      </c>
      <c r="U26" s="42" t="n">
        <f aca="false">U25+T26</f>
        <v>3700199.66855818</v>
      </c>
      <c r="V26" s="44" t="n">
        <f aca="false">1/(1+Inputs!$B$10)^(A26/12)</f>
        <v>0.765001827538642</v>
      </c>
      <c r="W26" s="42" t="n">
        <f aca="false">T26*V26</f>
        <v>404925.177779828</v>
      </c>
      <c r="X26" s="42" t="n">
        <f aca="false">X25+W26</f>
        <v>2248650.59186452</v>
      </c>
      <c r="Y26" s="46" t="n">
        <f aca="false">IF(U26&gt;=0,A26,"")</f>
        <v>23</v>
      </c>
      <c r="Z26" s="46" t="n">
        <f aca="false">IF(X26&gt;=0,A26,"")</f>
        <v>23</v>
      </c>
    </row>
    <row r="27" customFormat="false" ht="15" hidden="false" customHeight="false" outlineLevel="0" collapsed="false">
      <c r="A27" s="39" t="n">
        <v>24</v>
      </c>
      <c r="B27" s="40" t="n">
        <f aca="false">EDATE(Inputs!$B$8,A27-1)</f>
        <v>46874</v>
      </c>
      <c r="C27" s="39" t="n">
        <f aca="false">ROUNDUP(A27/12,0)</f>
        <v>2</v>
      </c>
      <c r="D27" s="39" t="n">
        <f aca="false">MOD(A27-1,12)+1</f>
        <v>12</v>
      </c>
      <c r="E27" s="41" t="n">
        <f aca="false">IF(A27&lt;Inputs!$B$9,0,MIN(1,(A27-Inputs!$B$9+1)/Inputs!$C$32))</f>
        <v>1</v>
      </c>
      <c r="F27" s="42" t="n">
        <f aca="false">Inputs!$B$14*Inputs!$B$13*Inputs!$C$23</f>
        <v>210</v>
      </c>
      <c r="G27" s="42" t="n">
        <f aca="false">F27*Inputs!$B$12*E27</f>
        <v>1199940</v>
      </c>
      <c r="H27" s="42" t="n">
        <f aca="false">INDEX(Inputs!$C$26:$E$26,1,C27)</f>
        <v>4068034669.309</v>
      </c>
      <c r="I27" s="43" t="n">
        <f aca="false">INDEX(Inputs!$C$27:$E$27,1,C27)</f>
        <v>0.03</v>
      </c>
      <c r="J27" s="42" t="n">
        <f aca="false">H27*Inputs!$B$18*I27/12*E27</f>
        <v>101700.866732725</v>
      </c>
      <c r="K27" s="42" t="n">
        <f aca="false">G27+J27</f>
        <v>1301640.86673273</v>
      </c>
      <c r="L27" s="42" t="n">
        <f aca="false">IF(A27=1,Inputs!$C$29,0)</f>
        <v>0</v>
      </c>
      <c r="M27" s="42" t="n">
        <f aca="false">IF(A27&gt;=Inputs!$B$9,INDEX(Inputs!$C$30:$E$30,1,C27),0)</f>
        <v>640000</v>
      </c>
      <c r="N27" s="42" t="n">
        <f aca="false">L27+M27</f>
        <v>640000</v>
      </c>
      <c r="O27" s="42" t="n">
        <f aca="false">K27-N27</f>
        <v>661640.866732725</v>
      </c>
      <c r="P27" s="42" t="n">
        <f aca="false">R26</f>
        <v>0</v>
      </c>
      <c r="Q27" s="42" t="n">
        <f aca="false">MAX(O27-P27,0)</f>
        <v>661640.866732725</v>
      </c>
      <c r="R27" s="42" t="n">
        <f aca="false">MAX(P27-O27,0)</f>
        <v>0</v>
      </c>
      <c r="S27" s="42" t="n">
        <f aca="false">Q27*Inputs!$B$11</f>
        <v>132328.173346545</v>
      </c>
      <c r="T27" s="42" t="n">
        <f aca="false">O27-S27</f>
        <v>529312.69338618</v>
      </c>
      <c r="U27" s="42" t="n">
        <f aca="false">U26+T27</f>
        <v>4229512.36194436</v>
      </c>
      <c r="V27" s="44" t="n">
        <f aca="false">1/(1+Inputs!$B$10)^(A27/12)</f>
        <v>0.756143667296787</v>
      </c>
      <c r="W27" s="42" t="n">
        <f aca="false">T27*V27</f>
        <v>400236.441123766</v>
      </c>
      <c r="X27" s="42" t="n">
        <f aca="false">X26+W27</f>
        <v>2648887.03298828</v>
      </c>
      <c r="Y27" s="46" t="n">
        <f aca="false">IF(U27&gt;=0,A27,"")</f>
        <v>24</v>
      </c>
      <c r="Z27" s="46" t="n">
        <f aca="false">IF(X27&gt;=0,A27,"")</f>
        <v>24</v>
      </c>
    </row>
    <row r="28" customFormat="false" ht="15" hidden="false" customHeight="false" outlineLevel="0" collapsed="false">
      <c r="A28" s="39" t="n">
        <v>25</v>
      </c>
      <c r="B28" s="40" t="n">
        <f aca="false">EDATE(Inputs!$B$8,A28-1)</f>
        <v>46905</v>
      </c>
      <c r="C28" s="39" t="n">
        <f aca="false">ROUNDUP(A28/12,0)</f>
        <v>3</v>
      </c>
      <c r="D28" s="39" t="n">
        <f aca="false">MOD(A28-1,12)+1</f>
        <v>1</v>
      </c>
      <c r="E28" s="41" t="n">
        <f aca="false">IF(A28&lt;Inputs!$B$9,0,MIN(1,(A28-Inputs!$B$9+1)/Inputs!$C$32))</f>
        <v>1</v>
      </c>
      <c r="F28" s="42" t="n">
        <f aca="false">Inputs!$B$14*Inputs!$B$13*Inputs!$C$23</f>
        <v>210</v>
      </c>
      <c r="G28" s="42" t="n">
        <f aca="false">F28*Inputs!$B$12*E28</f>
        <v>1199940</v>
      </c>
      <c r="H28" s="42" t="n">
        <f aca="false">INDEX(Inputs!$C$26:$E$26,1,C28)</f>
        <v>5288445070.1017</v>
      </c>
      <c r="I28" s="43" t="n">
        <f aca="false">INDEX(Inputs!$C$27:$E$27,1,C28)</f>
        <v>0.03</v>
      </c>
      <c r="J28" s="42" t="n">
        <f aca="false">H28*Inputs!$B$18*I28/12*E28</f>
        <v>132211.126752542</v>
      </c>
      <c r="K28" s="42" t="n">
        <f aca="false">G28+J28</f>
        <v>1332151.12675254</v>
      </c>
      <c r="L28" s="42" t="n">
        <f aca="false">IF(A28=1,Inputs!$C$29,0)</f>
        <v>0</v>
      </c>
      <c r="M28" s="42" t="n">
        <f aca="false">IF(A28&gt;=Inputs!$B$9,INDEX(Inputs!$C$30:$E$30,1,C28),0)</f>
        <v>690000</v>
      </c>
      <c r="N28" s="42" t="n">
        <f aca="false">L28+M28</f>
        <v>690000</v>
      </c>
      <c r="O28" s="42" t="n">
        <f aca="false">K28-N28</f>
        <v>642151.126752543</v>
      </c>
      <c r="P28" s="42" t="n">
        <f aca="false">R27</f>
        <v>0</v>
      </c>
      <c r="Q28" s="42" t="n">
        <f aca="false">MAX(O28-P28,0)</f>
        <v>642151.126752543</v>
      </c>
      <c r="R28" s="42" t="n">
        <f aca="false">MAX(P28-O28,0)</f>
        <v>0</v>
      </c>
      <c r="S28" s="42" t="n">
        <f aca="false">Q28*Inputs!$B$11</f>
        <v>128430.225350509</v>
      </c>
      <c r="T28" s="42" t="n">
        <f aca="false">O28-S28</f>
        <v>513720.901402034</v>
      </c>
      <c r="U28" s="42" t="n">
        <f aca="false">U27+T28</f>
        <v>4743233.26334639</v>
      </c>
      <c r="V28" s="44" t="n">
        <f aca="false">1/(1+Inputs!$B$10)^(A28/12)</f>
        <v>0.747388078055478</v>
      </c>
      <c r="W28" s="42" t="n">
        <f aca="false">T28*V28</f>
        <v>383948.877155794</v>
      </c>
      <c r="X28" s="42" t="n">
        <f aca="false">X27+W28</f>
        <v>3032835.91014408</v>
      </c>
      <c r="Y28" s="46" t="n">
        <f aca="false">IF(U28&gt;=0,A28,"")</f>
        <v>25</v>
      </c>
      <c r="Z28" s="46" t="n">
        <f aca="false">IF(X28&gt;=0,A28,"")</f>
        <v>25</v>
      </c>
    </row>
    <row r="29" customFormat="false" ht="15" hidden="false" customHeight="false" outlineLevel="0" collapsed="false">
      <c r="A29" s="39" t="n">
        <v>26</v>
      </c>
      <c r="B29" s="40" t="n">
        <f aca="false">EDATE(Inputs!$B$8,A29-1)</f>
        <v>46935</v>
      </c>
      <c r="C29" s="39" t="n">
        <f aca="false">ROUNDUP(A29/12,0)</f>
        <v>3</v>
      </c>
      <c r="D29" s="39" t="n">
        <f aca="false">MOD(A29-1,12)+1</f>
        <v>2</v>
      </c>
      <c r="E29" s="41" t="n">
        <f aca="false">IF(A29&lt;Inputs!$B$9,0,MIN(1,(A29-Inputs!$B$9+1)/Inputs!$C$32))</f>
        <v>1</v>
      </c>
      <c r="F29" s="42" t="n">
        <f aca="false">Inputs!$B$14*Inputs!$B$13*Inputs!$C$23</f>
        <v>210</v>
      </c>
      <c r="G29" s="42" t="n">
        <f aca="false">F29*Inputs!$B$12*E29</f>
        <v>1199940</v>
      </c>
      <c r="H29" s="42" t="n">
        <f aca="false">INDEX(Inputs!$C$26:$E$26,1,C29)</f>
        <v>5288445070.1017</v>
      </c>
      <c r="I29" s="43" t="n">
        <f aca="false">INDEX(Inputs!$C$27:$E$27,1,C29)</f>
        <v>0.03</v>
      </c>
      <c r="J29" s="42" t="n">
        <f aca="false">H29*Inputs!$B$18*I29/12*E29</f>
        <v>132211.126752542</v>
      </c>
      <c r="K29" s="42" t="n">
        <f aca="false">G29+J29</f>
        <v>1332151.12675254</v>
      </c>
      <c r="L29" s="42" t="n">
        <f aca="false">IF(A29=1,Inputs!$C$29,0)</f>
        <v>0</v>
      </c>
      <c r="M29" s="42" t="n">
        <f aca="false">IF(A29&gt;=Inputs!$B$9,INDEX(Inputs!$C$30:$E$30,1,C29),0)</f>
        <v>690000</v>
      </c>
      <c r="N29" s="42" t="n">
        <f aca="false">L29+M29</f>
        <v>690000</v>
      </c>
      <c r="O29" s="42" t="n">
        <f aca="false">K29-N29</f>
        <v>642151.126752543</v>
      </c>
      <c r="P29" s="42" t="n">
        <f aca="false">R28</f>
        <v>0</v>
      </c>
      <c r="Q29" s="42" t="n">
        <f aca="false">MAX(O29-P29,0)</f>
        <v>642151.126752543</v>
      </c>
      <c r="R29" s="42" t="n">
        <f aca="false">MAX(P29-O29,0)</f>
        <v>0</v>
      </c>
      <c r="S29" s="42" t="n">
        <f aca="false">Q29*Inputs!$B$11</f>
        <v>128430.225350509</v>
      </c>
      <c r="T29" s="42" t="n">
        <f aca="false">O29-S29</f>
        <v>513720.901402034</v>
      </c>
      <c r="U29" s="42" t="n">
        <f aca="false">U28+T29</f>
        <v>5256954.16474843</v>
      </c>
      <c r="V29" s="44" t="n">
        <f aca="false">1/(1+Inputs!$B$10)^(A29/12)</f>
        <v>0.738733872117737</v>
      </c>
      <c r="W29" s="42" t="n">
        <f aca="false">T29*V29</f>
        <v>379503.030680539</v>
      </c>
      <c r="X29" s="42" t="n">
        <f aca="false">X28+W29</f>
        <v>3412338.94082461</v>
      </c>
      <c r="Y29" s="46" t="n">
        <f aca="false">IF(U29&gt;=0,A29,"")</f>
        <v>26</v>
      </c>
      <c r="Z29" s="46" t="n">
        <f aca="false">IF(X29&gt;=0,A29,"")</f>
        <v>26</v>
      </c>
    </row>
    <row r="30" customFormat="false" ht="15" hidden="false" customHeight="false" outlineLevel="0" collapsed="false">
      <c r="A30" s="39" t="n">
        <v>27</v>
      </c>
      <c r="B30" s="40" t="n">
        <f aca="false">EDATE(Inputs!$B$8,A30-1)</f>
        <v>46966</v>
      </c>
      <c r="C30" s="39" t="n">
        <f aca="false">ROUNDUP(A30/12,0)</f>
        <v>3</v>
      </c>
      <c r="D30" s="39" t="n">
        <f aca="false">MOD(A30-1,12)+1</f>
        <v>3</v>
      </c>
      <c r="E30" s="41" t="n">
        <f aca="false">IF(A30&lt;Inputs!$B$9,0,MIN(1,(A30-Inputs!$B$9+1)/Inputs!$C$32))</f>
        <v>1</v>
      </c>
      <c r="F30" s="42" t="n">
        <f aca="false">Inputs!$B$14*Inputs!$B$13*Inputs!$C$23</f>
        <v>210</v>
      </c>
      <c r="G30" s="42" t="n">
        <f aca="false">F30*Inputs!$B$12*E30</f>
        <v>1199940</v>
      </c>
      <c r="H30" s="42" t="n">
        <f aca="false">INDEX(Inputs!$C$26:$E$26,1,C30)</f>
        <v>5288445070.1017</v>
      </c>
      <c r="I30" s="43" t="n">
        <f aca="false">INDEX(Inputs!$C$27:$E$27,1,C30)</f>
        <v>0.03</v>
      </c>
      <c r="J30" s="42" t="n">
        <f aca="false">H30*Inputs!$B$18*I30/12*E30</f>
        <v>132211.126752542</v>
      </c>
      <c r="K30" s="42" t="n">
        <f aca="false">G30+J30</f>
        <v>1332151.12675254</v>
      </c>
      <c r="L30" s="42" t="n">
        <f aca="false">IF(A30=1,Inputs!$C$29,0)</f>
        <v>0</v>
      </c>
      <c r="M30" s="42" t="n">
        <f aca="false">IF(A30&gt;=Inputs!$B$9,INDEX(Inputs!$C$30:$E$30,1,C30),0)</f>
        <v>690000</v>
      </c>
      <c r="N30" s="42" t="n">
        <f aca="false">L30+M30</f>
        <v>690000</v>
      </c>
      <c r="O30" s="42" t="n">
        <f aca="false">K30-N30</f>
        <v>642151.126752543</v>
      </c>
      <c r="P30" s="42" t="n">
        <f aca="false">R29</f>
        <v>0</v>
      </c>
      <c r="Q30" s="42" t="n">
        <f aca="false">MAX(O30-P30,0)</f>
        <v>642151.126752543</v>
      </c>
      <c r="R30" s="42" t="n">
        <f aca="false">MAX(P30-O30,0)</f>
        <v>0</v>
      </c>
      <c r="S30" s="42" t="n">
        <f aca="false">Q30*Inputs!$B$11</f>
        <v>128430.225350509</v>
      </c>
      <c r="T30" s="42" t="n">
        <f aca="false">O30-S30</f>
        <v>513720.901402034</v>
      </c>
      <c r="U30" s="42" t="n">
        <f aca="false">U29+T30</f>
        <v>5770675.06615046</v>
      </c>
      <c r="V30" s="44" t="n">
        <f aca="false">1/(1+Inputs!$B$10)^(A30/12)</f>
        <v>0.730179875539246</v>
      </c>
      <c r="W30" s="42" t="n">
        <f aca="false">T30*V30</f>
        <v>375108.663847646</v>
      </c>
      <c r="X30" s="42" t="n">
        <f aca="false">X29+W30</f>
        <v>3787447.60467226</v>
      </c>
      <c r="Y30" s="46" t="n">
        <f aca="false">IF(U30&gt;=0,A30,"")</f>
        <v>27</v>
      </c>
      <c r="Z30" s="46" t="n">
        <f aca="false">IF(X30&gt;=0,A30,"")</f>
        <v>27</v>
      </c>
    </row>
    <row r="31" customFormat="false" ht="15" hidden="false" customHeight="false" outlineLevel="0" collapsed="false">
      <c r="A31" s="39" t="n">
        <v>28</v>
      </c>
      <c r="B31" s="40" t="n">
        <f aca="false">EDATE(Inputs!$B$8,A31-1)</f>
        <v>46997</v>
      </c>
      <c r="C31" s="39" t="n">
        <f aca="false">ROUNDUP(A31/12,0)</f>
        <v>3</v>
      </c>
      <c r="D31" s="39" t="n">
        <f aca="false">MOD(A31-1,12)+1</f>
        <v>4</v>
      </c>
      <c r="E31" s="41" t="n">
        <f aca="false">IF(A31&lt;Inputs!$B$9,0,MIN(1,(A31-Inputs!$B$9+1)/Inputs!$C$32))</f>
        <v>1</v>
      </c>
      <c r="F31" s="42" t="n">
        <f aca="false">Inputs!$B$14*Inputs!$B$13*Inputs!$C$23</f>
        <v>210</v>
      </c>
      <c r="G31" s="42" t="n">
        <f aca="false">F31*Inputs!$B$12*E31</f>
        <v>1199940</v>
      </c>
      <c r="H31" s="42" t="n">
        <f aca="false">INDEX(Inputs!$C$26:$E$26,1,C31)</f>
        <v>5288445070.1017</v>
      </c>
      <c r="I31" s="43" t="n">
        <f aca="false">INDEX(Inputs!$C$27:$E$27,1,C31)</f>
        <v>0.03</v>
      </c>
      <c r="J31" s="42" t="n">
        <f aca="false">H31*Inputs!$B$18*I31/12*E31</f>
        <v>132211.126752542</v>
      </c>
      <c r="K31" s="42" t="n">
        <f aca="false">G31+J31</f>
        <v>1332151.12675254</v>
      </c>
      <c r="L31" s="42" t="n">
        <f aca="false">IF(A31=1,Inputs!$C$29,0)</f>
        <v>0</v>
      </c>
      <c r="M31" s="42" t="n">
        <f aca="false">IF(A31&gt;=Inputs!$B$9,INDEX(Inputs!$C$30:$E$30,1,C31),0)</f>
        <v>690000</v>
      </c>
      <c r="N31" s="42" t="n">
        <f aca="false">L31+M31</f>
        <v>690000</v>
      </c>
      <c r="O31" s="42" t="n">
        <f aca="false">K31-N31</f>
        <v>642151.126752543</v>
      </c>
      <c r="P31" s="42" t="n">
        <f aca="false">R30</f>
        <v>0</v>
      </c>
      <c r="Q31" s="42" t="n">
        <f aca="false">MAX(O31-P31,0)</f>
        <v>642151.126752543</v>
      </c>
      <c r="R31" s="42" t="n">
        <f aca="false">MAX(P31-O31,0)</f>
        <v>0</v>
      </c>
      <c r="S31" s="42" t="n">
        <f aca="false">Q31*Inputs!$B$11</f>
        <v>128430.225350509</v>
      </c>
      <c r="T31" s="42" t="n">
        <f aca="false">O31-S31</f>
        <v>513720.901402034</v>
      </c>
      <c r="U31" s="42" t="n">
        <f aca="false">U30+T31</f>
        <v>6284395.96755249</v>
      </c>
      <c r="V31" s="44" t="n">
        <f aca="false">1/(1+Inputs!$B$10)^(A31/12)</f>
        <v>0.721724927969101</v>
      </c>
      <c r="W31" s="42" t="n">
        <f aca="false">T31*V31</f>
        <v>370765.180560605</v>
      </c>
      <c r="X31" s="42" t="n">
        <f aca="false">X30+W31</f>
        <v>4158212.78523286</v>
      </c>
      <c r="Y31" s="46" t="n">
        <f aca="false">IF(U31&gt;=0,A31,"")</f>
        <v>28</v>
      </c>
      <c r="Z31" s="46" t="n">
        <f aca="false">IF(X31&gt;=0,A31,"")</f>
        <v>28</v>
      </c>
    </row>
    <row r="32" customFormat="false" ht="15" hidden="false" customHeight="false" outlineLevel="0" collapsed="false">
      <c r="A32" s="39" t="n">
        <v>29</v>
      </c>
      <c r="B32" s="40" t="n">
        <f aca="false">EDATE(Inputs!$B$8,A32-1)</f>
        <v>47027</v>
      </c>
      <c r="C32" s="39" t="n">
        <f aca="false">ROUNDUP(A32/12,0)</f>
        <v>3</v>
      </c>
      <c r="D32" s="39" t="n">
        <f aca="false">MOD(A32-1,12)+1</f>
        <v>5</v>
      </c>
      <c r="E32" s="41" t="n">
        <f aca="false">IF(A32&lt;Inputs!$B$9,0,MIN(1,(A32-Inputs!$B$9+1)/Inputs!$C$32))</f>
        <v>1</v>
      </c>
      <c r="F32" s="42" t="n">
        <f aca="false">Inputs!$B$14*Inputs!$B$13*Inputs!$C$23</f>
        <v>210</v>
      </c>
      <c r="G32" s="42" t="n">
        <f aca="false">F32*Inputs!$B$12*E32</f>
        <v>1199940</v>
      </c>
      <c r="H32" s="42" t="n">
        <f aca="false">INDEX(Inputs!$C$26:$E$26,1,C32)</f>
        <v>5288445070.1017</v>
      </c>
      <c r="I32" s="43" t="n">
        <f aca="false">INDEX(Inputs!$C$27:$E$27,1,C32)</f>
        <v>0.03</v>
      </c>
      <c r="J32" s="42" t="n">
        <f aca="false">H32*Inputs!$B$18*I32/12*E32</f>
        <v>132211.126752542</v>
      </c>
      <c r="K32" s="42" t="n">
        <f aca="false">G32+J32</f>
        <v>1332151.12675254</v>
      </c>
      <c r="L32" s="42" t="n">
        <f aca="false">IF(A32=1,Inputs!$C$29,0)</f>
        <v>0</v>
      </c>
      <c r="M32" s="42" t="n">
        <f aca="false">IF(A32&gt;=Inputs!$B$9,INDEX(Inputs!$C$30:$E$30,1,C32),0)</f>
        <v>690000</v>
      </c>
      <c r="N32" s="42" t="n">
        <f aca="false">L32+M32</f>
        <v>690000</v>
      </c>
      <c r="O32" s="42" t="n">
        <f aca="false">K32-N32</f>
        <v>642151.126752543</v>
      </c>
      <c r="P32" s="42" t="n">
        <f aca="false">R31</f>
        <v>0</v>
      </c>
      <c r="Q32" s="42" t="n">
        <f aca="false">MAX(O32-P32,0)</f>
        <v>642151.126752543</v>
      </c>
      <c r="R32" s="42" t="n">
        <f aca="false">MAX(P32-O32,0)</f>
        <v>0</v>
      </c>
      <c r="S32" s="42" t="n">
        <f aca="false">Q32*Inputs!$B$11</f>
        <v>128430.225350509</v>
      </c>
      <c r="T32" s="42" t="n">
        <f aca="false">O32-S32</f>
        <v>513720.901402034</v>
      </c>
      <c r="U32" s="42" t="n">
        <f aca="false">U31+T32</f>
        <v>6798116.86895453</v>
      </c>
      <c r="V32" s="44" t="n">
        <f aca="false">1/(1+Inputs!$B$10)^(A32/12)</f>
        <v>0.713367882492411</v>
      </c>
      <c r="W32" s="42" t="n">
        <f aca="false">T32*V32</f>
        <v>366471.991625261</v>
      </c>
      <c r="X32" s="42" t="n">
        <f aca="false">X31+W32</f>
        <v>4524684.77685813</v>
      </c>
      <c r="Y32" s="46" t="n">
        <f aca="false">IF(U32&gt;=0,A32,"")</f>
        <v>29</v>
      </c>
      <c r="Z32" s="46" t="n">
        <f aca="false">IF(X32&gt;=0,A32,"")</f>
        <v>29</v>
      </c>
    </row>
    <row r="33" customFormat="false" ht="15" hidden="false" customHeight="false" outlineLevel="0" collapsed="false">
      <c r="A33" s="39" t="n">
        <v>30</v>
      </c>
      <c r="B33" s="40" t="n">
        <f aca="false">EDATE(Inputs!$B$8,A33-1)</f>
        <v>47058</v>
      </c>
      <c r="C33" s="39" t="n">
        <f aca="false">ROUNDUP(A33/12,0)</f>
        <v>3</v>
      </c>
      <c r="D33" s="39" t="n">
        <f aca="false">MOD(A33-1,12)+1</f>
        <v>6</v>
      </c>
      <c r="E33" s="41" t="n">
        <f aca="false">IF(A33&lt;Inputs!$B$9,0,MIN(1,(A33-Inputs!$B$9+1)/Inputs!$C$32))</f>
        <v>1</v>
      </c>
      <c r="F33" s="42" t="n">
        <f aca="false">Inputs!$B$14*Inputs!$B$13*Inputs!$C$23</f>
        <v>210</v>
      </c>
      <c r="G33" s="42" t="n">
        <f aca="false">F33*Inputs!$B$12*E33</f>
        <v>1199940</v>
      </c>
      <c r="H33" s="42" t="n">
        <f aca="false">INDEX(Inputs!$C$26:$E$26,1,C33)</f>
        <v>5288445070.1017</v>
      </c>
      <c r="I33" s="43" t="n">
        <f aca="false">INDEX(Inputs!$C$27:$E$27,1,C33)</f>
        <v>0.03</v>
      </c>
      <c r="J33" s="42" t="n">
        <f aca="false">H33*Inputs!$B$18*I33/12*E33</f>
        <v>132211.126752542</v>
      </c>
      <c r="K33" s="42" t="n">
        <f aca="false">G33+J33</f>
        <v>1332151.12675254</v>
      </c>
      <c r="L33" s="42" t="n">
        <f aca="false">IF(A33=1,Inputs!$C$29,0)</f>
        <v>0</v>
      </c>
      <c r="M33" s="42" t="n">
        <f aca="false">IF(A33&gt;=Inputs!$B$9,INDEX(Inputs!$C$30:$E$30,1,C33),0)</f>
        <v>690000</v>
      </c>
      <c r="N33" s="42" t="n">
        <f aca="false">L33+M33</f>
        <v>690000</v>
      </c>
      <c r="O33" s="42" t="n">
        <f aca="false">K33-N33</f>
        <v>642151.126752543</v>
      </c>
      <c r="P33" s="42" t="n">
        <f aca="false">R32</f>
        <v>0</v>
      </c>
      <c r="Q33" s="42" t="n">
        <f aca="false">MAX(O33-P33,0)</f>
        <v>642151.126752543</v>
      </c>
      <c r="R33" s="42" t="n">
        <f aca="false">MAX(P33-O33,0)</f>
        <v>0</v>
      </c>
      <c r="S33" s="42" t="n">
        <f aca="false">Q33*Inputs!$B$11</f>
        <v>128430.225350509</v>
      </c>
      <c r="T33" s="42" t="n">
        <f aca="false">O33-S33</f>
        <v>513720.901402034</v>
      </c>
      <c r="U33" s="42" t="n">
        <f aca="false">U32+T33</f>
        <v>7311837.77035656</v>
      </c>
      <c r="V33" s="44" t="n">
        <f aca="false">1/(1+Inputs!$B$10)^(A33/12)</f>
        <v>0.705107605474718</v>
      </c>
      <c r="W33" s="42" t="n">
        <f aca="false">T33*V33</f>
        <v>362228.514669902</v>
      </c>
      <c r="X33" s="42" t="n">
        <f aca="false">X32+W33</f>
        <v>4886913.29152803</v>
      </c>
      <c r="Y33" s="46" t="n">
        <f aca="false">IF(U33&gt;=0,A33,"")</f>
        <v>30</v>
      </c>
      <c r="Z33" s="46" t="n">
        <f aca="false">IF(X33&gt;=0,A33,"")</f>
        <v>30</v>
      </c>
    </row>
    <row r="34" customFormat="false" ht="15" hidden="false" customHeight="false" outlineLevel="0" collapsed="false">
      <c r="A34" s="39" t="n">
        <v>31</v>
      </c>
      <c r="B34" s="40" t="n">
        <f aca="false">EDATE(Inputs!$B$8,A34-1)</f>
        <v>47088</v>
      </c>
      <c r="C34" s="39" t="n">
        <f aca="false">ROUNDUP(A34/12,0)</f>
        <v>3</v>
      </c>
      <c r="D34" s="39" t="n">
        <f aca="false">MOD(A34-1,12)+1</f>
        <v>7</v>
      </c>
      <c r="E34" s="41" t="n">
        <f aca="false">IF(A34&lt;Inputs!$B$9,0,MIN(1,(A34-Inputs!$B$9+1)/Inputs!$C$32))</f>
        <v>1</v>
      </c>
      <c r="F34" s="42" t="n">
        <f aca="false">Inputs!$B$14*Inputs!$B$13*Inputs!$C$23</f>
        <v>210</v>
      </c>
      <c r="G34" s="42" t="n">
        <f aca="false">F34*Inputs!$B$12*E34</f>
        <v>1199940</v>
      </c>
      <c r="H34" s="42" t="n">
        <f aca="false">INDEX(Inputs!$C$26:$E$26,1,C34)</f>
        <v>5288445070.1017</v>
      </c>
      <c r="I34" s="43" t="n">
        <f aca="false">INDEX(Inputs!$C$27:$E$27,1,C34)</f>
        <v>0.03</v>
      </c>
      <c r="J34" s="42" t="n">
        <f aca="false">H34*Inputs!$B$18*I34/12*E34</f>
        <v>132211.126752542</v>
      </c>
      <c r="K34" s="42" t="n">
        <f aca="false">G34+J34</f>
        <v>1332151.12675254</v>
      </c>
      <c r="L34" s="42" t="n">
        <f aca="false">IF(A34=1,Inputs!$C$29,0)</f>
        <v>0</v>
      </c>
      <c r="M34" s="42" t="n">
        <f aca="false">IF(A34&gt;=Inputs!$B$9,INDEX(Inputs!$C$30:$E$30,1,C34),0)</f>
        <v>690000</v>
      </c>
      <c r="N34" s="42" t="n">
        <f aca="false">L34+M34</f>
        <v>690000</v>
      </c>
      <c r="O34" s="42" t="n">
        <f aca="false">K34-N34</f>
        <v>642151.126752543</v>
      </c>
      <c r="P34" s="42" t="n">
        <f aca="false">R33</f>
        <v>0</v>
      </c>
      <c r="Q34" s="42" t="n">
        <f aca="false">MAX(O34-P34,0)</f>
        <v>642151.126752543</v>
      </c>
      <c r="R34" s="42" t="n">
        <f aca="false">MAX(P34-O34,0)</f>
        <v>0</v>
      </c>
      <c r="S34" s="42" t="n">
        <f aca="false">Q34*Inputs!$B$11</f>
        <v>128430.225350509</v>
      </c>
      <c r="T34" s="42" t="n">
        <f aca="false">O34-S34</f>
        <v>513720.901402034</v>
      </c>
      <c r="U34" s="42" t="n">
        <f aca="false">U33+T34</f>
        <v>7825558.6717586</v>
      </c>
      <c r="V34" s="44" t="n">
        <f aca="false">1/(1+Inputs!$B$10)^(A34/12)</f>
        <v>0.69694297640822</v>
      </c>
      <c r="W34" s="42" t="n">
        <f aca="false">T34*V34</f>
        <v>358034.174066247</v>
      </c>
      <c r="X34" s="42" t="n">
        <f aca="false">X33+W34</f>
        <v>5244947.46559428</v>
      </c>
      <c r="Y34" s="46" t="n">
        <f aca="false">IF(U34&gt;=0,A34,"")</f>
        <v>31</v>
      </c>
      <c r="Z34" s="46" t="n">
        <f aca="false">IF(X34&gt;=0,A34,"")</f>
        <v>31</v>
      </c>
    </row>
    <row r="35" customFormat="false" ht="15" hidden="false" customHeight="false" outlineLevel="0" collapsed="false">
      <c r="A35" s="39" t="n">
        <v>32</v>
      </c>
      <c r="B35" s="40" t="n">
        <f aca="false">EDATE(Inputs!$B$8,A35-1)</f>
        <v>47119</v>
      </c>
      <c r="C35" s="39" t="n">
        <f aca="false">ROUNDUP(A35/12,0)</f>
        <v>3</v>
      </c>
      <c r="D35" s="39" t="n">
        <f aca="false">MOD(A35-1,12)+1</f>
        <v>8</v>
      </c>
      <c r="E35" s="41" t="n">
        <f aca="false">IF(A35&lt;Inputs!$B$9,0,MIN(1,(A35-Inputs!$B$9+1)/Inputs!$C$32))</f>
        <v>1</v>
      </c>
      <c r="F35" s="42" t="n">
        <f aca="false">Inputs!$B$14*Inputs!$B$13*Inputs!$C$23</f>
        <v>210</v>
      </c>
      <c r="G35" s="42" t="n">
        <f aca="false">F35*Inputs!$B$12*E35</f>
        <v>1199940</v>
      </c>
      <c r="H35" s="42" t="n">
        <f aca="false">INDEX(Inputs!$C$26:$E$26,1,C35)</f>
        <v>5288445070.1017</v>
      </c>
      <c r="I35" s="43" t="n">
        <f aca="false">INDEX(Inputs!$C$27:$E$27,1,C35)</f>
        <v>0.03</v>
      </c>
      <c r="J35" s="42" t="n">
        <f aca="false">H35*Inputs!$B$18*I35/12*E35</f>
        <v>132211.126752542</v>
      </c>
      <c r="K35" s="42" t="n">
        <f aca="false">G35+J35</f>
        <v>1332151.12675254</v>
      </c>
      <c r="L35" s="42" t="n">
        <f aca="false">IF(A35=1,Inputs!$C$29,0)</f>
        <v>0</v>
      </c>
      <c r="M35" s="42" t="n">
        <f aca="false">IF(A35&gt;=Inputs!$B$9,INDEX(Inputs!$C$30:$E$30,1,C35),0)</f>
        <v>690000</v>
      </c>
      <c r="N35" s="42" t="n">
        <f aca="false">L35+M35</f>
        <v>690000</v>
      </c>
      <c r="O35" s="42" t="n">
        <f aca="false">K35-N35</f>
        <v>642151.126752543</v>
      </c>
      <c r="P35" s="42" t="n">
        <f aca="false">R34</f>
        <v>0</v>
      </c>
      <c r="Q35" s="42" t="n">
        <f aca="false">MAX(O35-P35,0)</f>
        <v>642151.126752543</v>
      </c>
      <c r="R35" s="42" t="n">
        <f aca="false">MAX(P35-O35,0)</f>
        <v>0</v>
      </c>
      <c r="S35" s="42" t="n">
        <f aca="false">Q35*Inputs!$B$11</f>
        <v>128430.225350509</v>
      </c>
      <c r="T35" s="42" t="n">
        <f aca="false">O35-S35</f>
        <v>513720.901402034</v>
      </c>
      <c r="U35" s="42" t="n">
        <f aca="false">U34+T35</f>
        <v>8339279.57316063</v>
      </c>
      <c r="V35" s="44" t="n">
        <f aca="false">1/(1+Inputs!$B$10)^(A35/12)</f>
        <v>0.688872887759775</v>
      </c>
      <c r="W35" s="42" t="n">
        <f aca="false">T35*V35</f>
        <v>353888.400851374</v>
      </c>
      <c r="X35" s="42" t="n">
        <f aca="false">X34+W35</f>
        <v>5598835.86644565</v>
      </c>
      <c r="Y35" s="46" t="n">
        <f aca="false">IF(U35&gt;=0,A35,"")</f>
        <v>32</v>
      </c>
      <c r="Z35" s="46" t="n">
        <f aca="false">IF(X35&gt;=0,A35,"")</f>
        <v>32</v>
      </c>
    </row>
    <row r="36" customFormat="false" ht="15" hidden="false" customHeight="false" outlineLevel="0" collapsed="false">
      <c r="A36" s="39" t="n">
        <v>33</v>
      </c>
      <c r="B36" s="40" t="n">
        <f aca="false">EDATE(Inputs!$B$8,A36-1)</f>
        <v>47150</v>
      </c>
      <c r="C36" s="39" t="n">
        <f aca="false">ROUNDUP(A36/12,0)</f>
        <v>3</v>
      </c>
      <c r="D36" s="39" t="n">
        <f aca="false">MOD(A36-1,12)+1</f>
        <v>9</v>
      </c>
      <c r="E36" s="41" t="n">
        <f aca="false">IF(A36&lt;Inputs!$B$9,0,MIN(1,(A36-Inputs!$B$9+1)/Inputs!$C$32))</f>
        <v>1</v>
      </c>
      <c r="F36" s="42" t="n">
        <f aca="false">Inputs!$B$14*Inputs!$B$13*Inputs!$C$23</f>
        <v>210</v>
      </c>
      <c r="G36" s="42" t="n">
        <f aca="false">F36*Inputs!$B$12*E36</f>
        <v>1199940</v>
      </c>
      <c r="H36" s="42" t="n">
        <f aca="false">INDEX(Inputs!$C$26:$E$26,1,C36)</f>
        <v>5288445070.1017</v>
      </c>
      <c r="I36" s="43" t="n">
        <f aca="false">INDEX(Inputs!$C$27:$E$27,1,C36)</f>
        <v>0.03</v>
      </c>
      <c r="J36" s="42" t="n">
        <f aca="false">H36*Inputs!$B$18*I36/12*E36</f>
        <v>132211.126752542</v>
      </c>
      <c r="K36" s="42" t="n">
        <f aca="false">G36+J36</f>
        <v>1332151.12675254</v>
      </c>
      <c r="L36" s="42" t="n">
        <f aca="false">IF(A36=1,Inputs!$C$29,0)</f>
        <v>0</v>
      </c>
      <c r="M36" s="42" t="n">
        <f aca="false">IF(A36&gt;=Inputs!$B$9,INDEX(Inputs!$C$30:$E$30,1,C36),0)</f>
        <v>690000</v>
      </c>
      <c r="N36" s="42" t="n">
        <f aca="false">L36+M36</f>
        <v>690000</v>
      </c>
      <c r="O36" s="42" t="n">
        <f aca="false">K36-N36</f>
        <v>642151.126752543</v>
      </c>
      <c r="P36" s="42" t="n">
        <f aca="false">R35</f>
        <v>0</v>
      </c>
      <c r="Q36" s="42" t="n">
        <f aca="false">MAX(O36-P36,0)</f>
        <v>642151.126752543</v>
      </c>
      <c r="R36" s="42" t="n">
        <f aca="false">MAX(P36-O36,0)</f>
        <v>0</v>
      </c>
      <c r="S36" s="42" t="n">
        <f aca="false">Q36*Inputs!$B$11</f>
        <v>128430.225350509</v>
      </c>
      <c r="T36" s="42" t="n">
        <f aca="false">O36-S36</f>
        <v>513720.901402034</v>
      </c>
      <c r="U36" s="42" t="n">
        <f aca="false">U35+T36</f>
        <v>8853000.47456266</v>
      </c>
      <c r="V36" s="44" t="n">
        <f aca="false">1/(1+Inputs!$B$10)^(A36/12)</f>
        <v>0.680896244820661</v>
      </c>
      <c r="W36" s="42" t="n">
        <f aca="false">T36*V36</f>
        <v>349790.63265053</v>
      </c>
      <c r="X36" s="42" t="n">
        <f aca="false">X35+W36</f>
        <v>5948626.49909618</v>
      </c>
      <c r="Y36" s="46" t="n">
        <f aca="false">IF(U36&gt;=0,A36,"")</f>
        <v>33</v>
      </c>
      <c r="Z36" s="46" t="n">
        <f aca="false">IF(X36&gt;=0,A36,"")</f>
        <v>33</v>
      </c>
    </row>
    <row r="37" customFormat="false" ht="15" hidden="false" customHeight="false" outlineLevel="0" collapsed="false">
      <c r="A37" s="39" t="n">
        <v>34</v>
      </c>
      <c r="B37" s="40" t="n">
        <f aca="false">EDATE(Inputs!$B$8,A37-1)</f>
        <v>47178</v>
      </c>
      <c r="C37" s="39" t="n">
        <f aca="false">ROUNDUP(A37/12,0)</f>
        <v>3</v>
      </c>
      <c r="D37" s="39" t="n">
        <f aca="false">MOD(A37-1,12)+1</f>
        <v>10</v>
      </c>
      <c r="E37" s="41" t="n">
        <f aca="false">IF(A37&lt;Inputs!$B$9,0,MIN(1,(A37-Inputs!$B$9+1)/Inputs!$C$32))</f>
        <v>1</v>
      </c>
      <c r="F37" s="42" t="n">
        <f aca="false">Inputs!$B$14*Inputs!$B$13*Inputs!$C$23</f>
        <v>210</v>
      </c>
      <c r="G37" s="42" t="n">
        <f aca="false">F37*Inputs!$B$12*E37</f>
        <v>1199940</v>
      </c>
      <c r="H37" s="42" t="n">
        <f aca="false">INDEX(Inputs!$C$26:$E$26,1,C37)</f>
        <v>5288445070.1017</v>
      </c>
      <c r="I37" s="43" t="n">
        <f aca="false">INDEX(Inputs!$C$27:$E$27,1,C37)</f>
        <v>0.03</v>
      </c>
      <c r="J37" s="42" t="n">
        <f aca="false">H37*Inputs!$B$18*I37/12*E37</f>
        <v>132211.126752542</v>
      </c>
      <c r="K37" s="42" t="n">
        <f aca="false">G37+J37</f>
        <v>1332151.12675254</v>
      </c>
      <c r="L37" s="42" t="n">
        <f aca="false">IF(A37=1,Inputs!$C$29,0)</f>
        <v>0</v>
      </c>
      <c r="M37" s="42" t="n">
        <f aca="false">IF(A37&gt;=Inputs!$B$9,INDEX(Inputs!$C$30:$E$30,1,C37),0)</f>
        <v>690000</v>
      </c>
      <c r="N37" s="42" t="n">
        <f aca="false">L37+M37</f>
        <v>690000</v>
      </c>
      <c r="O37" s="42" t="n">
        <f aca="false">K37-N37</f>
        <v>642151.126752543</v>
      </c>
      <c r="P37" s="42" t="n">
        <f aca="false">R36</f>
        <v>0</v>
      </c>
      <c r="Q37" s="42" t="n">
        <f aca="false">MAX(O37-P37,0)</f>
        <v>642151.126752543</v>
      </c>
      <c r="R37" s="42" t="n">
        <f aca="false">MAX(P37-O37,0)</f>
        <v>0</v>
      </c>
      <c r="S37" s="42" t="n">
        <f aca="false">Q37*Inputs!$B$11</f>
        <v>128430.225350509</v>
      </c>
      <c r="T37" s="42" t="n">
        <f aca="false">O37-S37</f>
        <v>513720.901402034</v>
      </c>
      <c r="U37" s="42" t="n">
        <f aca="false">U36+T37</f>
        <v>9366721.3759647</v>
      </c>
      <c r="V37" s="44" t="n">
        <f aca="false">1/(1+Inputs!$B$10)^(A37/12)</f>
        <v>0.673011965558081</v>
      </c>
      <c r="W37" s="42" t="n">
        <f aca="false">T37*V37</f>
        <v>345740.313600852</v>
      </c>
      <c r="X37" s="42" t="n">
        <f aca="false">X36+W37</f>
        <v>6294366.81269703</v>
      </c>
      <c r="Y37" s="46" t="n">
        <f aca="false">IF(U37&gt;=0,A37,"")</f>
        <v>34</v>
      </c>
      <c r="Z37" s="46" t="n">
        <f aca="false">IF(X37&gt;=0,A37,"")</f>
        <v>34</v>
      </c>
    </row>
    <row r="38" customFormat="false" ht="15" hidden="false" customHeight="false" outlineLevel="0" collapsed="false">
      <c r="A38" s="39" t="n">
        <v>35</v>
      </c>
      <c r="B38" s="40" t="n">
        <f aca="false">EDATE(Inputs!$B$8,A38-1)</f>
        <v>47209</v>
      </c>
      <c r="C38" s="39" t="n">
        <f aca="false">ROUNDUP(A38/12,0)</f>
        <v>3</v>
      </c>
      <c r="D38" s="39" t="n">
        <f aca="false">MOD(A38-1,12)+1</f>
        <v>11</v>
      </c>
      <c r="E38" s="41" t="n">
        <f aca="false">IF(A38&lt;Inputs!$B$9,0,MIN(1,(A38-Inputs!$B$9+1)/Inputs!$C$32))</f>
        <v>1</v>
      </c>
      <c r="F38" s="42" t="n">
        <f aca="false">Inputs!$B$14*Inputs!$B$13*Inputs!$C$23</f>
        <v>210</v>
      </c>
      <c r="G38" s="42" t="n">
        <f aca="false">F38*Inputs!$B$12*E38</f>
        <v>1199940</v>
      </c>
      <c r="H38" s="42" t="n">
        <f aca="false">INDEX(Inputs!$C$26:$E$26,1,C38)</f>
        <v>5288445070.1017</v>
      </c>
      <c r="I38" s="43" t="n">
        <f aca="false">INDEX(Inputs!$C$27:$E$27,1,C38)</f>
        <v>0.03</v>
      </c>
      <c r="J38" s="42" t="n">
        <f aca="false">H38*Inputs!$B$18*I38/12*E38</f>
        <v>132211.126752542</v>
      </c>
      <c r="K38" s="42" t="n">
        <f aca="false">G38+J38</f>
        <v>1332151.12675254</v>
      </c>
      <c r="L38" s="42" t="n">
        <f aca="false">IF(A38=1,Inputs!$C$29,0)</f>
        <v>0</v>
      </c>
      <c r="M38" s="42" t="n">
        <f aca="false">IF(A38&gt;=Inputs!$B$9,INDEX(Inputs!$C$30:$E$30,1,C38),0)</f>
        <v>690000</v>
      </c>
      <c r="N38" s="42" t="n">
        <f aca="false">L38+M38</f>
        <v>690000</v>
      </c>
      <c r="O38" s="42" t="n">
        <f aca="false">K38-N38</f>
        <v>642151.126752543</v>
      </c>
      <c r="P38" s="42" t="n">
        <f aca="false">R37</f>
        <v>0</v>
      </c>
      <c r="Q38" s="42" t="n">
        <f aca="false">MAX(O38-P38,0)</f>
        <v>642151.126752543</v>
      </c>
      <c r="R38" s="42" t="n">
        <f aca="false">MAX(P38-O38,0)</f>
        <v>0</v>
      </c>
      <c r="S38" s="42" t="n">
        <f aca="false">Q38*Inputs!$B$11</f>
        <v>128430.225350509</v>
      </c>
      <c r="T38" s="42" t="n">
        <f aca="false">O38-S38</f>
        <v>513720.901402034</v>
      </c>
      <c r="U38" s="42" t="n">
        <f aca="false">U37+T38</f>
        <v>9880442.27736673</v>
      </c>
      <c r="V38" s="44" t="n">
        <f aca="false">1/(1+Inputs!$B$10)^(A38/12)</f>
        <v>0.665218980468384</v>
      </c>
      <c r="W38" s="42" t="n">
        <f aca="false">T38*V38</f>
        <v>341736.89427596</v>
      </c>
      <c r="X38" s="42" t="n">
        <f aca="false">X37+W38</f>
        <v>6636103.70697299</v>
      </c>
      <c r="Y38" s="46" t="n">
        <f aca="false">IF(U38&gt;=0,A38,"")</f>
        <v>35</v>
      </c>
      <c r="Z38" s="46" t="n">
        <f aca="false">IF(X38&gt;=0,A38,"")</f>
        <v>35</v>
      </c>
    </row>
    <row r="39" customFormat="false" ht="15" hidden="false" customHeight="false" outlineLevel="0" collapsed="false">
      <c r="A39" s="39" t="n">
        <v>36</v>
      </c>
      <c r="B39" s="40" t="n">
        <f aca="false">EDATE(Inputs!$B$8,A39-1)</f>
        <v>47239</v>
      </c>
      <c r="C39" s="39" t="n">
        <f aca="false">ROUNDUP(A39/12,0)</f>
        <v>3</v>
      </c>
      <c r="D39" s="39" t="n">
        <f aca="false">MOD(A39-1,12)+1</f>
        <v>12</v>
      </c>
      <c r="E39" s="41" t="n">
        <f aca="false">IF(A39&lt;Inputs!$B$9,0,MIN(1,(A39-Inputs!$B$9+1)/Inputs!$C$32))</f>
        <v>1</v>
      </c>
      <c r="F39" s="42" t="n">
        <f aca="false">Inputs!$B$14*Inputs!$B$13*Inputs!$C$23</f>
        <v>210</v>
      </c>
      <c r="G39" s="42" t="n">
        <f aca="false">F39*Inputs!$B$12*E39</f>
        <v>1199940</v>
      </c>
      <c r="H39" s="42" t="n">
        <f aca="false">INDEX(Inputs!$C$26:$E$26,1,C39)</f>
        <v>5288445070.1017</v>
      </c>
      <c r="I39" s="43" t="n">
        <f aca="false">INDEX(Inputs!$C$27:$E$27,1,C39)</f>
        <v>0.03</v>
      </c>
      <c r="J39" s="42" t="n">
        <f aca="false">H39*Inputs!$B$18*I39/12*E39</f>
        <v>132211.126752542</v>
      </c>
      <c r="K39" s="42" t="n">
        <f aca="false">G39+J39</f>
        <v>1332151.12675254</v>
      </c>
      <c r="L39" s="42" t="n">
        <f aca="false">IF(A39=1,Inputs!$C$29,0)</f>
        <v>0</v>
      </c>
      <c r="M39" s="42" t="n">
        <f aca="false">IF(A39&gt;=Inputs!$B$9,INDEX(Inputs!$C$30:$E$30,1,C39),0)</f>
        <v>690000</v>
      </c>
      <c r="N39" s="42" t="n">
        <f aca="false">L39+M39</f>
        <v>690000</v>
      </c>
      <c r="O39" s="42" t="n">
        <f aca="false">K39-N39</f>
        <v>642151.126752543</v>
      </c>
      <c r="P39" s="42" t="n">
        <f aca="false">R38</f>
        <v>0</v>
      </c>
      <c r="Q39" s="42" t="n">
        <f aca="false">MAX(O39-P39,0)</f>
        <v>642151.126752543</v>
      </c>
      <c r="R39" s="42" t="n">
        <f aca="false">MAX(P39-O39,0)</f>
        <v>0</v>
      </c>
      <c r="S39" s="42" t="n">
        <f aca="false">Q39*Inputs!$B$11</f>
        <v>128430.225350509</v>
      </c>
      <c r="T39" s="42" t="n">
        <f aca="false">O39-S39</f>
        <v>513720.901402034</v>
      </c>
      <c r="U39" s="42" t="n">
        <f aca="false">U38+T39</f>
        <v>10394163.1787688</v>
      </c>
      <c r="V39" s="44" t="n">
        <f aca="false">1/(1+Inputs!$B$10)^(A39/12)</f>
        <v>0.657516232431988</v>
      </c>
      <c r="W39" s="42" t="n">
        <f aca="false">T39*V39</f>
        <v>337779.83161143</v>
      </c>
      <c r="X39" s="42" t="n">
        <f aca="false">X38+W39</f>
        <v>6973883.53858442</v>
      </c>
      <c r="Y39" s="46" t="n">
        <f aca="false">IF(U39&gt;=0,A39,"")</f>
        <v>36</v>
      </c>
      <c r="Z39" s="46" t="n">
        <f aca="false">IF(X39&gt;=0,A39,"")</f>
        <v>36</v>
      </c>
    </row>
    <row r="41" customFormat="false" ht="15" hidden="false" customHeight="false" outlineLevel="0" collapsed="false">
      <c r="A41" s="47" t="s">
        <v>131</v>
      </c>
      <c r="B41" s="47"/>
      <c r="C41" s="47"/>
      <c r="D41" s="47"/>
      <c r="E41" s="47"/>
    </row>
    <row r="42" customFormat="false" ht="15" hidden="false" customHeight="false" outlineLevel="0" collapsed="false">
      <c r="A42" s="26" t="s">
        <v>74</v>
      </c>
      <c r="B42" s="26" t="s">
        <v>76</v>
      </c>
      <c r="C42" s="26" t="s">
        <v>77</v>
      </c>
      <c r="D42" s="26" t="s">
        <v>78</v>
      </c>
      <c r="E42" s="26" t="s">
        <v>132</v>
      </c>
    </row>
    <row r="43" customFormat="false" ht="15" hidden="false" customHeight="false" outlineLevel="0" collapsed="false">
      <c r="A43" s="13" t="s">
        <v>133</v>
      </c>
      <c r="B43" s="31" t="n">
        <f aca="false">SUM(K4:K15)</f>
        <v>8947200.05163775</v>
      </c>
      <c r="C43" s="31" t="n">
        <f aca="false">SUM(K16:K27)</f>
        <v>15619690.4007927</v>
      </c>
      <c r="D43" s="31" t="n">
        <f aca="false">SUM(K28:K39)</f>
        <v>15985813.5210305</v>
      </c>
      <c r="E43" s="31" t="n">
        <f aca="false">SUM(K4:K39)</f>
        <v>40552703.973461</v>
      </c>
    </row>
    <row r="44" customFormat="false" ht="23.85" hidden="false" customHeight="false" outlineLevel="0" collapsed="false">
      <c r="A44" s="13" t="s">
        <v>134</v>
      </c>
      <c r="B44" s="31" t="n">
        <f aca="false">SUM(N4:N15)</f>
        <v>11600000</v>
      </c>
      <c r="C44" s="31" t="n">
        <f aca="false">SUM(N16:N27)</f>
        <v>7680000</v>
      </c>
      <c r="D44" s="31" t="n">
        <f aca="false">SUM(N28:N39)</f>
        <v>8280000</v>
      </c>
      <c r="E44" s="31" t="n">
        <f aca="false">SUM(N4:N39)</f>
        <v>27560000</v>
      </c>
    </row>
    <row r="45" customFormat="false" ht="15" hidden="false" customHeight="false" outlineLevel="0" collapsed="false">
      <c r="A45" s="13" t="s">
        <v>135</v>
      </c>
      <c r="B45" s="31" t="n">
        <f aca="false">SUM(O4:O15)</f>
        <v>-2652799.94836225</v>
      </c>
      <c r="C45" s="31" t="n">
        <f aca="false">SUM(O16:O27)</f>
        <v>7939690.4007927</v>
      </c>
      <c r="D45" s="31" t="n">
        <f aca="false">SUM(O28:O39)</f>
        <v>7705813.52103051</v>
      </c>
      <c r="E45" s="31" t="n">
        <f aca="false">SUM(O4:O39)</f>
        <v>12992703.973461</v>
      </c>
    </row>
    <row r="46" customFormat="false" ht="15" hidden="false" customHeight="false" outlineLevel="0" collapsed="false">
      <c r="A46" s="13" t="s">
        <v>136</v>
      </c>
      <c r="B46" s="31" t="n">
        <f aca="false">SUM(S4:S15)</f>
        <v>0</v>
      </c>
      <c r="C46" s="31" t="n">
        <f aca="false">SUM(S16:S27)</f>
        <v>1057378.09048609</v>
      </c>
      <c r="D46" s="31" t="n">
        <f aca="false">SUM(S28:S39)</f>
        <v>1541162.7042061</v>
      </c>
      <c r="E46" s="31" t="n">
        <f aca="false">SUM(S4:S39)</f>
        <v>2598540.79469219</v>
      </c>
    </row>
    <row r="47" customFormat="false" ht="23.85" hidden="false" customHeight="false" outlineLevel="0" collapsed="false">
      <c r="A47" s="13" t="s">
        <v>137</v>
      </c>
      <c r="B47" s="31" t="n">
        <f aca="false">SUM(T4:T15)</f>
        <v>-2652799.94836225</v>
      </c>
      <c r="C47" s="31" t="n">
        <f aca="false">SUM(T16:T27)</f>
        <v>6882312.31030661</v>
      </c>
      <c r="D47" s="31" t="n">
        <f aca="false">SUM(T28:T39)</f>
        <v>6164650.81682441</v>
      </c>
      <c r="E47" s="31" t="n">
        <f aca="false">SUM(T4:T39)</f>
        <v>10394163.1787688</v>
      </c>
    </row>
    <row r="48" customFormat="false" ht="15" hidden="false" customHeight="false" outlineLevel="0" collapsed="false">
      <c r="A48" s="13" t="s">
        <v>138</v>
      </c>
      <c r="B48" s="31" t="n">
        <f aca="false">U15</f>
        <v>-2652799.94836225</v>
      </c>
      <c r="C48" s="31" t="n">
        <f aca="false">U27</f>
        <v>4229512.36194436</v>
      </c>
      <c r="D48" s="31" t="n">
        <f aca="false">U39</f>
        <v>10394163.1787688</v>
      </c>
      <c r="E48" s="31" t="n">
        <f aca="false">U39</f>
        <v>10394163.1787688</v>
      </c>
    </row>
    <row r="50" customFormat="false" ht="15" hidden="false" customHeight="false" outlineLevel="0" collapsed="false">
      <c r="A50" s="13" t="s">
        <v>139</v>
      </c>
      <c r="B50" s="48"/>
      <c r="C50" s="48"/>
      <c r="D50" s="48"/>
      <c r="E50" s="31" t="n">
        <f aca="false">SUM(W4:W39)</f>
        <v>6973883.53858442</v>
      </c>
    </row>
    <row r="51" customFormat="false" ht="15" hidden="false" customHeight="false" outlineLevel="0" collapsed="false">
      <c r="A51" s="13" t="s">
        <v>140</v>
      </c>
      <c r="E51" s="49" t="n">
        <f aca="false">IFERROR((1+IRR(T4:T39))^12-1,"n/a")</f>
        <v>0.965466880645008</v>
      </c>
    </row>
    <row r="52" customFormat="false" ht="15" hidden="false" customHeight="false" outlineLevel="0" collapsed="false">
      <c r="A52" s="13" t="s">
        <v>141</v>
      </c>
      <c r="E52" s="50" t="n">
        <f aca="false">IFERROR(SMALL(Y4:Y39,1),"&gt;36")</f>
        <v>17</v>
      </c>
    </row>
    <row r="53" customFormat="false" ht="23.85" hidden="false" customHeight="false" outlineLevel="0" collapsed="false">
      <c r="A53" s="13" t="s">
        <v>142</v>
      </c>
      <c r="E53" s="50" t="n">
        <f aca="false">IFERROR(SMALL(Z4:Z39,1),"&gt;36")</f>
        <v>18</v>
      </c>
    </row>
    <row r="54" customFormat="false" ht="23.85" hidden="false" customHeight="false" outlineLevel="0" collapsed="false">
      <c r="A54" s="13" t="s">
        <v>143</v>
      </c>
      <c r="E54" s="49" t="n">
        <f aca="false">E47/E44</f>
        <v>0.377146704599738</v>
      </c>
    </row>
    <row r="55" customFormat="false" ht="15" hidden="false" customHeight="false" outlineLevel="0" collapsed="false">
      <c r="A55" s="13" t="s">
        <v>144</v>
      </c>
      <c r="E55" s="31" t="n">
        <f aca="false">SUMPRODUCT(K4:K39,V4:V39)</f>
        <v>31923120.1568607</v>
      </c>
    </row>
    <row r="56" customFormat="false" ht="15" hidden="false" customHeight="false" outlineLevel="0" collapsed="false">
      <c r="A56" s="13" t="s">
        <v>145</v>
      </c>
      <c r="E56" s="31" t="n">
        <f aca="false">SUMPRODUCT(N4:N39,V4:V39)</f>
        <v>23034936.3400329</v>
      </c>
    </row>
    <row r="57" customFormat="false" ht="15" hidden="false" customHeight="false" outlineLevel="0" collapsed="false">
      <c r="A57" s="13" t="s">
        <v>146</v>
      </c>
      <c r="E57" s="51" t="n">
        <f aca="false">E55/E56</f>
        <v>1.38585666943567</v>
      </c>
    </row>
  </sheetData>
  <mergeCells count="3">
    <mergeCell ref="A1:Z1"/>
    <mergeCell ref="A2:Z2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4" min="3" style="0" width="10.51"/>
    <col collapsed="false" customWidth="true" hidden="false" outlineLevel="0" max="5" min="5" style="0" width="18"/>
    <col collapsed="false" customWidth="true" hidden="false" outlineLevel="0" max="26" min="6" style="0" width="10.51"/>
  </cols>
  <sheetData>
    <row r="1" customFormat="false" ht="17.35" hidden="false" customHeight="false" outlineLevel="0" collapsed="false">
      <c r="A1" s="36" t="s">
        <v>147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customFormat="false" ht="15" hidden="false" customHeight="false" outlineLevel="0" collapsed="false">
      <c r="A2" s="37" t="s">
        <v>105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customFormat="false" ht="30" hidden="false" customHeight="true" outlineLevel="0" collapsed="false">
      <c r="A3" s="38" t="s">
        <v>41</v>
      </c>
      <c r="B3" s="38" t="s">
        <v>106</v>
      </c>
      <c r="C3" s="38" t="s">
        <v>107</v>
      </c>
      <c r="D3" s="38" t="s">
        <v>108</v>
      </c>
      <c r="E3" s="38" t="s">
        <v>109</v>
      </c>
      <c r="F3" s="38" t="s">
        <v>110</v>
      </c>
      <c r="G3" s="38" t="s">
        <v>111</v>
      </c>
      <c r="H3" s="38" t="s">
        <v>112</v>
      </c>
      <c r="I3" s="38" t="s">
        <v>113</v>
      </c>
      <c r="J3" s="38" t="s">
        <v>114</v>
      </c>
      <c r="K3" s="38" t="s">
        <v>115</v>
      </c>
      <c r="L3" s="38" t="s">
        <v>116</v>
      </c>
      <c r="M3" s="38" t="s">
        <v>117</v>
      </c>
      <c r="N3" s="38" t="s">
        <v>118</v>
      </c>
      <c r="O3" s="38" t="s">
        <v>119</v>
      </c>
      <c r="P3" s="38" t="s">
        <v>120</v>
      </c>
      <c r="Q3" s="38" t="s">
        <v>121</v>
      </c>
      <c r="R3" s="38" t="s">
        <v>122</v>
      </c>
      <c r="S3" s="38" t="s">
        <v>123</v>
      </c>
      <c r="T3" s="38" t="s">
        <v>124</v>
      </c>
      <c r="U3" s="38" t="s">
        <v>125</v>
      </c>
      <c r="V3" s="38" t="s">
        <v>126</v>
      </c>
      <c r="W3" s="38" t="s">
        <v>127</v>
      </c>
      <c r="X3" s="38" t="s">
        <v>128</v>
      </c>
      <c r="Y3" s="38" t="s">
        <v>129</v>
      </c>
      <c r="Z3" s="38" t="s">
        <v>130</v>
      </c>
    </row>
    <row r="4" customFormat="false" ht="15" hidden="false" customHeight="false" outlineLevel="0" collapsed="false">
      <c r="A4" s="39" t="n">
        <v>1</v>
      </c>
      <c r="B4" s="40" t="n">
        <f aca="false">EDATE(Inputs!$B$8,A4-1)</f>
        <v>46174</v>
      </c>
      <c r="C4" s="39" t="n">
        <f aca="false">ROUNDUP(A4/12,0)</f>
        <v>1</v>
      </c>
      <c r="D4" s="39" t="n">
        <f aca="false">MOD(A4-1,12)+1</f>
        <v>1</v>
      </c>
      <c r="E4" s="41" t="n">
        <f aca="false">IF(A4&lt;Inputs!$B$9,0,MIN(1,(A4-Inputs!$B$9+1)/Inputs!$F$32))</f>
        <v>0</v>
      </c>
      <c r="F4" s="42" t="n">
        <f aca="false">Inputs!$B$14*Inputs!$B$13*Inputs!$F$23</f>
        <v>245</v>
      </c>
      <c r="G4" s="42" t="n">
        <f aca="false">F4*Inputs!$B$12*E4</f>
        <v>0</v>
      </c>
      <c r="H4" s="42" t="n">
        <f aca="false">INDEX(Inputs!$F$26:$H$26,1,C4)</f>
        <v>3490325603.845</v>
      </c>
      <c r="I4" s="43" t="n">
        <f aca="false">INDEX(Inputs!$F$27:$H$27,1,C4)</f>
        <v>0.05</v>
      </c>
      <c r="J4" s="42" t="n">
        <f aca="false">H4*Inputs!$B$18*I4/12*E4</f>
        <v>0</v>
      </c>
      <c r="K4" s="42" t="n">
        <f aca="false">G4+J4</f>
        <v>0</v>
      </c>
      <c r="L4" s="42" t="n">
        <f aca="false">IF(A4=1,Inputs!$F$29,0)</f>
        <v>5000000</v>
      </c>
      <c r="M4" s="42" t="n">
        <f aca="false">IF(A4&gt;=Inputs!$B$9,INDEX(Inputs!$F$30:$H$30,1,C4),0)</f>
        <v>0</v>
      </c>
      <c r="N4" s="42" t="n">
        <f aca="false">L4+M4</f>
        <v>5000000</v>
      </c>
      <c r="O4" s="42" t="n">
        <f aca="false">K4-N4</f>
        <v>-5000000</v>
      </c>
      <c r="P4" s="42" t="n">
        <f aca="false">0</f>
        <v>0</v>
      </c>
      <c r="Q4" s="42" t="n">
        <f aca="false">MAX(O4-P4,0)</f>
        <v>0</v>
      </c>
      <c r="R4" s="42" t="n">
        <f aca="false">MAX(P4-O4,0)</f>
        <v>5000000</v>
      </c>
      <c r="S4" s="42" t="n">
        <f aca="false">Q4*Inputs!$B$11</f>
        <v>0</v>
      </c>
      <c r="T4" s="42" t="n">
        <f aca="false">O4-S4</f>
        <v>-5000000</v>
      </c>
      <c r="U4" s="42" t="n">
        <f aca="false">T4</f>
        <v>-5000000</v>
      </c>
      <c r="V4" s="44" t="n">
        <f aca="false">1/(1+Inputs!$B$10)^(A4/12)</f>
        <v>0.988420733228369</v>
      </c>
      <c r="W4" s="42" t="n">
        <f aca="false">T4*V4</f>
        <v>-4942103.66614185</v>
      </c>
      <c r="X4" s="42" t="n">
        <f aca="false">W4</f>
        <v>-4942103.66614185</v>
      </c>
      <c r="Y4" s="45" t="str">
        <f aca="false">IF(U4&gt;=0,A4,"")</f>
        <v/>
      </c>
      <c r="Z4" s="45" t="str">
        <f aca="false">IF(X4&gt;=0,A4,"")</f>
        <v/>
      </c>
    </row>
    <row r="5" customFormat="false" ht="15" hidden="false" customHeight="false" outlineLevel="0" collapsed="false">
      <c r="A5" s="39" t="n">
        <v>2</v>
      </c>
      <c r="B5" s="40" t="n">
        <f aca="false">EDATE(Inputs!$B$8,A5-1)</f>
        <v>46204</v>
      </c>
      <c r="C5" s="39" t="n">
        <f aca="false">ROUNDUP(A5/12,0)</f>
        <v>1</v>
      </c>
      <c r="D5" s="39" t="n">
        <f aca="false">MOD(A5-1,12)+1</f>
        <v>2</v>
      </c>
      <c r="E5" s="41" t="n">
        <f aca="false">IF(A5&lt;Inputs!$B$9,0,MIN(1,(A5-Inputs!$B$9+1)/Inputs!$F$32))</f>
        <v>0.166666666666667</v>
      </c>
      <c r="F5" s="42" t="n">
        <f aca="false">Inputs!$B$14*Inputs!$B$13*Inputs!$F$23</f>
        <v>245</v>
      </c>
      <c r="G5" s="42" t="n">
        <f aca="false">F5*Inputs!$B$12*E5</f>
        <v>233321.666666667</v>
      </c>
      <c r="H5" s="42" t="n">
        <f aca="false">INDEX(Inputs!$F$26:$H$26,1,C5)</f>
        <v>3490325603.845</v>
      </c>
      <c r="I5" s="43" t="n">
        <f aca="false">INDEX(Inputs!$F$27:$H$27,1,C5)</f>
        <v>0.05</v>
      </c>
      <c r="J5" s="42" t="n">
        <f aca="false">H5*Inputs!$B$18*I5/12*E5</f>
        <v>24238.3722489236</v>
      </c>
      <c r="K5" s="42" t="n">
        <f aca="false">G5+J5</f>
        <v>257560.03891559</v>
      </c>
      <c r="L5" s="42" t="n">
        <f aca="false">IF(A5=1,Inputs!$F$29,0)</f>
        <v>0</v>
      </c>
      <c r="M5" s="42" t="n">
        <f aca="false">IF(A5&gt;=Inputs!$B$9,INDEX(Inputs!$F$30:$H$30,1,C5),0)</f>
        <v>500000</v>
      </c>
      <c r="N5" s="42" t="n">
        <f aca="false">L5+M5</f>
        <v>500000</v>
      </c>
      <c r="O5" s="42" t="n">
        <f aca="false">K5-N5</f>
        <v>-242439.96108441</v>
      </c>
      <c r="P5" s="42" t="n">
        <f aca="false">R4</f>
        <v>5000000</v>
      </c>
      <c r="Q5" s="42" t="n">
        <f aca="false">MAX(O5-P5,0)</f>
        <v>0</v>
      </c>
      <c r="R5" s="42" t="n">
        <f aca="false">MAX(P5-O5,0)</f>
        <v>5242439.96108441</v>
      </c>
      <c r="S5" s="42" t="n">
        <f aca="false">Q5*Inputs!$B$11</f>
        <v>0</v>
      </c>
      <c r="T5" s="42" t="n">
        <f aca="false">O5-S5</f>
        <v>-242439.96108441</v>
      </c>
      <c r="U5" s="42" t="n">
        <f aca="false">U4+T5</f>
        <v>-5242439.96108441</v>
      </c>
      <c r="V5" s="44" t="n">
        <f aca="false">1/(1+Inputs!$B$10)^(A5/12)</f>
        <v>0.976975545875707</v>
      </c>
      <c r="W5" s="42" t="n">
        <f aca="false">T5*V5</f>
        <v>-236857.913322526</v>
      </c>
      <c r="X5" s="42" t="n">
        <f aca="false">X4+W5</f>
        <v>-5178961.57946437</v>
      </c>
      <c r="Y5" s="45" t="str">
        <f aca="false">IF(U5&gt;=0,A5,"")</f>
        <v/>
      </c>
      <c r="Z5" s="45" t="str">
        <f aca="false">IF(X5&gt;=0,A5,"")</f>
        <v/>
      </c>
    </row>
    <row r="6" customFormat="false" ht="15" hidden="false" customHeight="false" outlineLevel="0" collapsed="false">
      <c r="A6" s="39" t="n">
        <v>3</v>
      </c>
      <c r="B6" s="40" t="n">
        <f aca="false">EDATE(Inputs!$B$8,A6-1)</f>
        <v>46235</v>
      </c>
      <c r="C6" s="39" t="n">
        <f aca="false">ROUNDUP(A6/12,0)</f>
        <v>1</v>
      </c>
      <c r="D6" s="39" t="n">
        <f aca="false">MOD(A6-1,12)+1</f>
        <v>3</v>
      </c>
      <c r="E6" s="41" t="n">
        <f aca="false">IF(A6&lt;Inputs!$B$9,0,MIN(1,(A6-Inputs!$B$9+1)/Inputs!$F$32))</f>
        <v>0.333333333333333</v>
      </c>
      <c r="F6" s="42" t="n">
        <f aca="false">Inputs!$B$14*Inputs!$B$13*Inputs!$F$23</f>
        <v>245</v>
      </c>
      <c r="G6" s="42" t="n">
        <f aca="false">F6*Inputs!$B$12*E6</f>
        <v>466643.333333333</v>
      </c>
      <c r="H6" s="42" t="n">
        <f aca="false">INDEX(Inputs!$F$26:$H$26,1,C6)</f>
        <v>3490325603.845</v>
      </c>
      <c r="I6" s="43" t="n">
        <f aca="false">INDEX(Inputs!$F$27:$H$27,1,C6)</f>
        <v>0.05</v>
      </c>
      <c r="J6" s="42" t="n">
        <f aca="false">H6*Inputs!$B$18*I6/12*E6</f>
        <v>48476.7444978472</v>
      </c>
      <c r="K6" s="42" t="n">
        <f aca="false">G6+J6</f>
        <v>515120.077831181</v>
      </c>
      <c r="L6" s="42" t="n">
        <f aca="false">IF(A6=1,Inputs!$F$29,0)</f>
        <v>0</v>
      </c>
      <c r="M6" s="42" t="n">
        <f aca="false">IF(A6&gt;=Inputs!$B$9,INDEX(Inputs!$F$30:$H$30,1,C6),0)</f>
        <v>500000</v>
      </c>
      <c r="N6" s="42" t="n">
        <f aca="false">L6+M6</f>
        <v>500000</v>
      </c>
      <c r="O6" s="42" t="n">
        <f aca="false">K6-N6</f>
        <v>15120.0778311805</v>
      </c>
      <c r="P6" s="42" t="n">
        <f aca="false">R5</f>
        <v>5242439.96108441</v>
      </c>
      <c r="Q6" s="42" t="n">
        <f aca="false">MAX(O6-P6,0)</f>
        <v>0</v>
      </c>
      <c r="R6" s="42" t="n">
        <f aca="false">MAX(P6-O6,0)</f>
        <v>5227319.88325323</v>
      </c>
      <c r="S6" s="42" t="n">
        <f aca="false">Q6*Inputs!$B$11</f>
        <v>0</v>
      </c>
      <c r="T6" s="42" t="n">
        <f aca="false">O6-S6</f>
        <v>15120.0778311805</v>
      </c>
      <c r="U6" s="42" t="n">
        <f aca="false">U5+T6</f>
        <v>-5227319.88325323</v>
      </c>
      <c r="V6" s="44" t="n">
        <f aca="false">1/(1+Inputs!$B$10)^(A6/12)</f>
        <v>0.965662885400653</v>
      </c>
      <c r="W6" s="42" t="n">
        <f aca="false">T6*V6</f>
        <v>14600.8979859402</v>
      </c>
      <c r="X6" s="42" t="n">
        <f aca="false">X5+W6</f>
        <v>-5164360.68147843</v>
      </c>
      <c r="Y6" s="45" t="str">
        <f aca="false">IF(U6&gt;=0,A6,"")</f>
        <v/>
      </c>
      <c r="Z6" s="45" t="str">
        <f aca="false">IF(X6&gt;=0,A6,"")</f>
        <v/>
      </c>
    </row>
    <row r="7" customFormat="false" ht="15" hidden="false" customHeight="false" outlineLevel="0" collapsed="false">
      <c r="A7" s="39" t="n">
        <v>4</v>
      </c>
      <c r="B7" s="40" t="n">
        <f aca="false">EDATE(Inputs!$B$8,A7-1)</f>
        <v>46266</v>
      </c>
      <c r="C7" s="39" t="n">
        <f aca="false">ROUNDUP(A7/12,0)</f>
        <v>1</v>
      </c>
      <c r="D7" s="39" t="n">
        <f aca="false">MOD(A7-1,12)+1</f>
        <v>4</v>
      </c>
      <c r="E7" s="41" t="n">
        <f aca="false">IF(A7&lt;Inputs!$B$9,0,MIN(1,(A7-Inputs!$B$9+1)/Inputs!$F$32))</f>
        <v>0.5</v>
      </c>
      <c r="F7" s="42" t="n">
        <f aca="false">Inputs!$B$14*Inputs!$B$13*Inputs!$F$23</f>
        <v>245</v>
      </c>
      <c r="G7" s="42" t="n">
        <f aca="false">F7*Inputs!$B$12*E7</f>
        <v>699965</v>
      </c>
      <c r="H7" s="42" t="n">
        <f aca="false">INDEX(Inputs!$F$26:$H$26,1,C7)</f>
        <v>3490325603.845</v>
      </c>
      <c r="I7" s="43" t="n">
        <f aca="false">INDEX(Inputs!$F$27:$H$27,1,C7)</f>
        <v>0.05</v>
      </c>
      <c r="J7" s="42" t="n">
        <f aca="false">H7*Inputs!$B$18*I7/12*E7</f>
        <v>72715.1167467708</v>
      </c>
      <c r="K7" s="42" t="n">
        <f aca="false">G7+J7</f>
        <v>772680.116746771</v>
      </c>
      <c r="L7" s="42" t="n">
        <f aca="false">IF(A7=1,Inputs!$F$29,0)</f>
        <v>0</v>
      </c>
      <c r="M7" s="42" t="n">
        <f aca="false">IF(A7&gt;=Inputs!$B$9,INDEX(Inputs!$F$30:$H$30,1,C7),0)</f>
        <v>500000</v>
      </c>
      <c r="N7" s="42" t="n">
        <f aca="false">L7+M7</f>
        <v>500000</v>
      </c>
      <c r="O7" s="42" t="n">
        <f aca="false">K7-N7</f>
        <v>272680.116746771</v>
      </c>
      <c r="P7" s="42" t="n">
        <f aca="false">R6</f>
        <v>5227319.88325323</v>
      </c>
      <c r="Q7" s="42" t="n">
        <f aca="false">MAX(O7-P7,0)</f>
        <v>0</v>
      </c>
      <c r="R7" s="42" t="n">
        <f aca="false">MAX(P7-O7,0)</f>
        <v>4954639.76650646</v>
      </c>
      <c r="S7" s="42" t="n">
        <f aca="false">Q7*Inputs!$B$11</f>
        <v>0</v>
      </c>
      <c r="T7" s="42" t="n">
        <f aca="false">O7-S7</f>
        <v>272680.116746771</v>
      </c>
      <c r="U7" s="42" t="n">
        <f aca="false">U6+T7</f>
        <v>-4954639.76650646</v>
      </c>
      <c r="V7" s="44" t="n">
        <f aca="false">1/(1+Inputs!$B$10)^(A7/12)</f>
        <v>0.954481217239136</v>
      </c>
      <c r="W7" s="42" t="n">
        <f aca="false">T7*V7</f>
        <v>260268.049749367</v>
      </c>
      <c r="X7" s="42" t="n">
        <f aca="false">X6+W7</f>
        <v>-4904092.63172906</v>
      </c>
      <c r="Y7" s="45" t="str">
        <f aca="false">IF(U7&gt;=0,A7,"")</f>
        <v/>
      </c>
      <c r="Z7" s="45" t="str">
        <f aca="false">IF(X7&gt;=0,A7,"")</f>
        <v/>
      </c>
    </row>
    <row r="8" customFormat="false" ht="15" hidden="false" customHeight="false" outlineLevel="0" collapsed="false">
      <c r="A8" s="39" t="n">
        <v>5</v>
      </c>
      <c r="B8" s="40" t="n">
        <f aca="false">EDATE(Inputs!$B$8,A8-1)</f>
        <v>46296</v>
      </c>
      <c r="C8" s="39" t="n">
        <f aca="false">ROUNDUP(A8/12,0)</f>
        <v>1</v>
      </c>
      <c r="D8" s="39" t="n">
        <f aca="false">MOD(A8-1,12)+1</f>
        <v>5</v>
      </c>
      <c r="E8" s="41" t="n">
        <f aca="false">IF(A8&lt;Inputs!$B$9,0,MIN(1,(A8-Inputs!$B$9+1)/Inputs!$F$32))</f>
        <v>0.666666666666667</v>
      </c>
      <c r="F8" s="42" t="n">
        <f aca="false">Inputs!$B$14*Inputs!$B$13*Inputs!$F$23</f>
        <v>245</v>
      </c>
      <c r="G8" s="42" t="n">
        <f aca="false">F8*Inputs!$B$12*E8</f>
        <v>933286.666666667</v>
      </c>
      <c r="H8" s="42" t="n">
        <f aca="false">INDEX(Inputs!$F$26:$H$26,1,C8)</f>
        <v>3490325603.845</v>
      </c>
      <c r="I8" s="43" t="n">
        <f aca="false">INDEX(Inputs!$F$27:$H$27,1,C8)</f>
        <v>0.05</v>
      </c>
      <c r="J8" s="42" t="n">
        <f aca="false">H8*Inputs!$B$18*I8/12*E8</f>
        <v>96953.4889956944</v>
      </c>
      <c r="K8" s="42" t="n">
        <f aca="false">G8+J8</f>
        <v>1030240.15566236</v>
      </c>
      <c r="L8" s="42" t="n">
        <f aca="false">IF(A8=1,Inputs!$F$29,0)</f>
        <v>0</v>
      </c>
      <c r="M8" s="42" t="n">
        <f aca="false">IF(A8&gt;=Inputs!$B$9,INDEX(Inputs!$F$30:$H$30,1,C8),0)</f>
        <v>500000</v>
      </c>
      <c r="N8" s="42" t="n">
        <f aca="false">L8+M8</f>
        <v>500000</v>
      </c>
      <c r="O8" s="42" t="n">
        <f aca="false">K8-N8</f>
        <v>530240.155662361</v>
      </c>
      <c r="P8" s="42" t="n">
        <f aca="false">R7</f>
        <v>4954639.76650646</v>
      </c>
      <c r="Q8" s="42" t="n">
        <f aca="false">MAX(O8-P8,0)</f>
        <v>0</v>
      </c>
      <c r="R8" s="42" t="n">
        <f aca="false">MAX(P8-O8,0)</f>
        <v>4424399.6108441</v>
      </c>
      <c r="S8" s="42" t="n">
        <f aca="false">Q8*Inputs!$B$11</f>
        <v>0</v>
      </c>
      <c r="T8" s="42" t="n">
        <f aca="false">O8-S8</f>
        <v>530240.155662361</v>
      </c>
      <c r="U8" s="42" t="n">
        <f aca="false">U7+T8</f>
        <v>-4424399.6108441</v>
      </c>
      <c r="V8" s="44" t="n">
        <f aca="false">1/(1+Inputs!$B$10)^(A8/12)</f>
        <v>0.943429024596213</v>
      </c>
      <c r="W8" s="42" t="n">
        <f aca="false">T8*V8</f>
        <v>500243.952858285</v>
      </c>
      <c r="X8" s="42" t="n">
        <f aca="false">X7+W8</f>
        <v>-4403848.67887078</v>
      </c>
      <c r="Y8" s="45" t="str">
        <f aca="false">IF(U8&gt;=0,A8,"")</f>
        <v/>
      </c>
      <c r="Z8" s="45" t="str">
        <f aca="false">IF(X8&gt;=0,A8,"")</f>
        <v/>
      </c>
    </row>
    <row r="9" customFormat="false" ht="15" hidden="false" customHeight="false" outlineLevel="0" collapsed="false">
      <c r="A9" s="39" t="n">
        <v>6</v>
      </c>
      <c r="B9" s="40" t="n">
        <f aca="false">EDATE(Inputs!$B$8,A9-1)</f>
        <v>46327</v>
      </c>
      <c r="C9" s="39" t="n">
        <f aca="false">ROUNDUP(A9/12,0)</f>
        <v>1</v>
      </c>
      <c r="D9" s="39" t="n">
        <f aca="false">MOD(A9-1,12)+1</f>
        <v>6</v>
      </c>
      <c r="E9" s="41" t="n">
        <f aca="false">IF(A9&lt;Inputs!$B$9,0,MIN(1,(A9-Inputs!$B$9+1)/Inputs!$F$32))</f>
        <v>0.833333333333333</v>
      </c>
      <c r="F9" s="42" t="n">
        <f aca="false">Inputs!$B$14*Inputs!$B$13*Inputs!$F$23</f>
        <v>245</v>
      </c>
      <c r="G9" s="42" t="n">
        <f aca="false">F9*Inputs!$B$12*E9</f>
        <v>1166608.33333333</v>
      </c>
      <c r="H9" s="42" t="n">
        <f aca="false">INDEX(Inputs!$F$26:$H$26,1,C9)</f>
        <v>3490325603.845</v>
      </c>
      <c r="I9" s="43" t="n">
        <f aca="false">INDEX(Inputs!$F$27:$H$27,1,C9)</f>
        <v>0.05</v>
      </c>
      <c r="J9" s="42" t="n">
        <f aca="false">H9*Inputs!$B$18*I9/12*E9</f>
        <v>121191.861244618</v>
      </c>
      <c r="K9" s="42" t="n">
        <f aca="false">G9+J9</f>
        <v>1287800.19457795</v>
      </c>
      <c r="L9" s="42" t="n">
        <f aca="false">IF(A9=1,Inputs!$F$29,0)</f>
        <v>0</v>
      </c>
      <c r="M9" s="42" t="n">
        <f aca="false">IF(A9&gt;=Inputs!$B$9,INDEX(Inputs!$F$30:$H$30,1,C9),0)</f>
        <v>500000</v>
      </c>
      <c r="N9" s="42" t="n">
        <f aca="false">L9+M9</f>
        <v>500000</v>
      </c>
      <c r="O9" s="42" t="n">
        <f aca="false">K9-N9</f>
        <v>787800.194577951</v>
      </c>
      <c r="P9" s="42" t="n">
        <f aca="false">R8</f>
        <v>4424399.6108441</v>
      </c>
      <c r="Q9" s="42" t="n">
        <f aca="false">MAX(O9-P9,0)</f>
        <v>0</v>
      </c>
      <c r="R9" s="42" t="n">
        <f aca="false">MAX(P9-O9,0)</f>
        <v>3636599.41626615</v>
      </c>
      <c r="S9" s="42" t="n">
        <f aca="false">Q9*Inputs!$B$11</f>
        <v>0</v>
      </c>
      <c r="T9" s="42" t="n">
        <f aca="false">O9-S9</f>
        <v>787800.194577951</v>
      </c>
      <c r="U9" s="42" t="n">
        <f aca="false">U8+T9</f>
        <v>-3636599.41626615</v>
      </c>
      <c r="V9" s="44" t="n">
        <f aca="false">1/(1+Inputs!$B$10)^(A9/12)</f>
        <v>0.932504808240314</v>
      </c>
      <c r="W9" s="42" t="n">
        <f aca="false">T9*V9</f>
        <v>734627.469376594</v>
      </c>
      <c r="X9" s="42" t="n">
        <f aca="false">X8+W9</f>
        <v>-3669221.20949419</v>
      </c>
      <c r="Y9" s="45" t="str">
        <f aca="false">IF(U9&gt;=0,A9,"")</f>
        <v/>
      </c>
      <c r="Z9" s="45" t="str">
        <f aca="false">IF(X9&gt;=0,A9,"")</f>
        <v/>
      </c>
    </row>
    <row r="10" customFormat="false" ht="15" hidden="false" customHeight="false" outlineLevel="0" collapsed="false">
      <c r="A10" s="39" t="n">
        <v>7</v>
      </c>
      <c r="B10" s="40" t="n">
        <f aca="false">EDATE(Inputs!$B$8,A10-1)</f>
        <v>46357</v>
      </c>
      <c r="C10" s="39" t="n">
        <f aca="false">ROUNDUP(A10/12,0)</f>
        <v>1</v>
      </c>
      <c r="D10" s="39" t="n">
        <f aca="false">MOD(A10-1,12)+1</f>
        <v>7</v>
      </c>
      <c r="E10" s="41" t="n">
        <f aca="false">IF(A10&lt;Inputs!$B$9,0,MIN(1,(A10-Inputs!$B$9+1)/Inputs!$F$32))</f>
        <v>1</v>
      </c>
      <c r="F10" s="42" t="n">
        <f aca="false">Inputs!$B$14*Inputs!$B$13*Inputs!$F$23</f>
        <v>245</v>
      </c>
      <c r="G10" s="42" t="n">
        <f aca="false">F10*Inputs!$B$12*E10</f>
        <v>1399930</v>
      </c>
      <c r="H10" s="42" t="n">
        <f aca="false">INDEX(Inputs!$F$26:$H$26,1,C10)</f>
        <v>3490325603.845</v>
      </c>
      <c r="I10" s="43" t="n">
        <f aca="false">INDEX(Inputs!$F$27:$H$27,1,C10)</f>
        <v>0.05</v>
      </c>
      <c r="J10" s="42" t="n">
        <f aca="false">H10*Inputs!$B$18*I10/12*E10</f>
        <v>145430.233493542</v>
      </c>
      <c r="K10" s="42" t="n">
        <f aca="false">G10+J10</f>
        <v>1545360.23349354</v>
      </c>
      <c r="L10" s="42" t="n">
        <f aca="false">IF(A10=1,Inputs!$F$29,0)</f>
        <v>0</v>
      </c>
      <c r="M10" s="42" t="n">
        <f aca="false">IF(A10&gt;=Inputs!$B$9,INDEX(Inputs!$F$30:$H$30,1,C10),0)</f>
        <v>500000</v>
      </c>
      <c r="N10" s="42" t="n">
        <f aca="false">L10+M10</f>
        <v>500000</v>
      </c>
      <c r="O10" s="42" t="n">
        <f aca="false">K10-N10</f>
        <v>1045360.23349354</v>
      </c>
      <c r="P10" s="42" t="n">
        <f aca="false">R9</f>
        <v>3636599.41626615</v>
      </c>
      <c r="Q10" s="42" t="n">
        <f aca="false">MAX(O10-P10,0)</f>
        <v>0</v>
      </c>
      <c r="R10" s="42" t="n">
        <f aca="false">MAX(P10-O10,0)</f>
        <v>2591239.1827726</v>
      </c>
      <c r="S10" s="42" t="n">
        <f aca="false">Q10*Inputs!$B$11</f>
        <v>0</v>
      </c>
      <c r="T10" s="42" t="n">
        <f aca="false">O10-S10</f>
        <v>1045360.23349354</v>
      </c>
      <c r="U10" s="42" t="n">
        <f aca="false">U9+T10</f>
        <v>-2591239.1827726</v>
      </c>
      <c r="V10" s="44" t="n">
        <f aca="false">1/(1+Inputs!$B$10)^(A10/12)</f>
        <v>0.921707086299871</v>
      </c>
      <c r="W10" s="42" t="n">
        <f aca="false">T10*V10</f>
        <v>963515.934947085</v>
      </c>
      <c r="X10" s="42" t="n">
        <f aca="false">X9+W10</f>
        <v>-2705705.2745471</v>
      </c>
      <c r="Y10" s="45" t="str">
        <f aca="false">IF(U10&gt;=0,A10,"")</f>
        <v/>
      </c>
      <c r="Z10" s="45" t="str">
        <f aca="false">IF(X10&gt;=0,A10,"")</f>
        <v/>
      </c>
    </row>
    <row r="11" customFormat="false" ht="15" hidden="false" customHeight="false" outlineLevel="0" collapsed="false">
      <c r="A11" s="39" t="n">
        <v>8</v>
      </c>
      <c r="B11" s="40" t="n">
        <f aca="false">EDATE(Inputs!$B$8,A11-1)</f>
        <v>46388</v>
      </c>
      <c r="C11" s="39" t="n">
        <f aca="false">ROUNDUP(A11/12,0)</f>
        <v>1</v>
      </c>
      <c r="D11" s="39" t="n">
        <f aca="false">MOD(A11-1,12)+1</f>
        <v>8</v>
      </c>
      <c r="E11" s="41" t="n">
        <f aca="false">IF(A11&lt;Inputs!$B$9,0,MIN(1,(A11-Inputs!$B$9+1)/Inputs!$F$32))</f>
        <v>1</v>
      </c>
      <c r="F11" s="42" t="n">
        <f aca="false">Inputs!$B$14*Inputs!$B$13*Inputs!$F$23</f>
        <v>245</v>
      </c>
      <c r="G11" s="42" t="n">
        <f aca="false">F11*Inputs!$B$12*E11</f>
        <v>1399930</v>
      </c>
      <c r="H11" s="42" t="n">
        <f aca="false">INDEX(Inputs!$F$26:$H$26,1,C11)</f>
        <v>3490325603.845</v>
      </c>
      <c r="I11" s="43" t="n">
        <f aca="false">INDEX(Inputs!$F$27:$H$27,1,C11)</f>
        <v>0.05</v>
      </c>
      <c r="J11" s="42" t="n">
        <f aca="false">H11*Inputs!$B$18*I11/12*E11</f>
        <v>145430.233493542</v>
      </c>
      <c r="K11" s="42" t="n">
        <f aca="false">G11+J11</f>
        <v>1545360.23349354</v>
      </c>
      <c r="L11" s="42" t="n">
        <f aca="false">IF(A11=1,Inputs!$F$29,0)</f>
        <v>0</v>
      </c>
      <c r="M11" s="42" t="n">
        <f aca="false">IF(A11&gt;=Inputs!$B$9,INDEX(Inputs!$F$30:$H$30,1,C11),0)</f>
        <v>500000</v>
      </c>
      <c r="N11" s="42" t="n">
        <f aca="false">L11+M11</f>
        <v>500000</v>
      </c>
      <c r="O11" s="42" t="n">
        <f aca="false">K11-N11</f>
        <v>1045360.23349354</v>
      </c>
      <c r="P11" s="42" t="n">
        <f aca="false">R10</f>
        <v>2591239.1827726</v>
      </c>
      <c r="Q11" s="42" t="n">
        <f aca="false">MAX(O11-P11,0)</f>
        <v>0</v>
      </c>
      <c r="R11" s="42" t="n">
        <f aca="false">MAX(P11-O11,0)</f>
        <v>1545878.94927906</v>
      </c>
      <c r="S11" s="42" t="n">
        <f aca="false">Q11*Inputs!$B$11</f>
        <v>0</v>
      </c>
      <c r="T11" s="42" t="n">
        <f aca="false">O11-S11</f>
        <v>1045360.23349354</v>
      </c>
      <c r="U11" s="42" t="n">
        <f aca="false">U10+T11</f>
        <v>-1545878.94927906</v>
      </c>
      <c r="V11" s="44" t="n">
        <f aca="false">1/(1+Inputs!$B$10)^(A11/12)</f>
        <v>0.911034394062302</v>
      </c>
      <c r="W11" s="42" t="n">
        <f aca="false">T11*V11</f>
        <v>952359.126897615</v>
      </c>
      <c r="X11" s="42" t="n">
        <f aca="false">X10+W11</f>
        <v>-1753346.14764949</v>
      </c>
      <c r="Y11" s="45" t="str">
        <f aca="false">IF(U11&gt;=0,A11,"")</f>
        <v/>
      </c>
      <c r="Z11" s="45" t="str">
        <f aca="false">IF(X11&gt;=0,A11,"")</f>
        <v/>
      </c>
    </row>
    <row r="12" customFormat="false" ht="15" hidden="false" customHeight="false" outlineLevel="0" collapsed="false">
      <c r="A12" s="39" t="n">
        <v>9</v>
      </c>
      <c r="B12" s="40" t="n">
        <f aca="false">EDATE(Inputs!$B$8,A12-1)</f>
        <v>46419</v>
      </c>
      <c r="C12" s="39" t="n">
        <f aca="false">ROUNDUP(A12/12,0)</f>
        <v>1</v>
      </c>
      <c r="D12" s="39" t="n">
        <f aca="false">MOD(A12-1,12)+1</f>
        <v>9</v>
      </c>
      <c r="E12" s="41" t="n">
        <f aca="false">IF(A12&lt;Inputs!$B$9,0,MIN(1,(A12-Inputs!$B$9+1)/Inputs!$F$32))</f>
        <v>1</v>
      </c>
      <c r="F12" s="42" t="n">
        <f aca="false">Inputs!$B$14*Inputs!$B$13*Inputs!$F$23</f>
        <v>245</v>
      </c>
      <c r="G12" s="42" t="n">
        <f aca="false">F12*Inputs!$B$12*E12</f>
        <v>1399930</v>
      </c>
      <c r="H12" s="42" t="n">
        <f aca="false">INDEX(Inputs!$F$26:$H$26,1,C12)</f>
        <v>3490325603.845</v>
      </c>
      <c r="I12" s="43" t="n">
        <f aca="false">INDEX(Inputs!$F$27:$H$27,1,C12)</f>
        <v>0.05</v>
      </c>
      <c r="J12" s="42" t="n">
        <f aca="false">H12*Inputs!$B$18*I12/12*E12</f>
        <v>145430.233493542</v>
      </c>
      <c r="K12" s="42" t="n">
        <f aca="false">G12+J12</f>
        <v>1545360.23349354</v>
      </c>
      <c r="L12" s="42" t="n">
        <f aca="false">IF(A12=1,Inputs!$F$29,0)</f>
        <v>0</v>
      </c>
      <c r="M12" s="42" t="n">
        <f aca="false">IF(A12&gt;=Inputs!$B$9,INDEX(Inputs!$F$30:$H$30,1,C12),0)</f>
        <v>500000</v>
      </c>
      <c r="N12" s="42" t="n">
        <f aca="false">L12+M12</f>
        <v>500000</v>
      </c>
      <c r="O12" s="42" t="n">
        <f aca="false">K12-N12</f>
        <v>1045360.23349354</v>
      </c>
      <c r="P12" s="42" t="n">
        <f aca="false">R11</f>
        <v>1545878.94927906</v>
      </c>
      <c r="Q12" s="42" t="n">
        <f aca="false">MAX(O12-P12,0)</f>
        <v>0</v>
      </c>
      <c r="R12" s="42" t="n">
        <f aca="false">MAX(P12-O12,0)</f>
        <v>500518.715785522</v>
      </c>
      <c r="S12" s="42" t="n">
        <f aca="false">Q12*Inputs!$B$11</f>
        <v>0</v>
      </c>
      <c r="T12" s="42" t="n">
        <f aca="false">O12-S12</f>
        <v>1045360.23349354</v>
      </c>
      <c r="U12" s="42" t="n">
        <f aca="false">U11+T12</f>
        <v>-500518.715785522</v>
      </c>
      <c r="V12" s="44" t="n">
        <f aca="false">1/(1+Inputs!$B$10)^(A12/12)</f>
        <v>0.900485283775324</v>
      </c>
      <c r="W12" s="42" t="n">
        <f aca="false">T12*V12</f>
        <v>941331.50650487</v>
      </c>
      <c r="X12" s="42" t="n">
        <f aca="false">X11+W12</f>
        <v>-812014.641144616</v>
      </c>
      <c r="Y12" s="45" t="str">
        <f aca="false">IF(U12&gt;=0,A12,"")</f>
        <v/>
      </c>
      <c r="Z12" s="45" t="str">
        <f aca="false">IF(X12&gt;=0,A12,"")</f>
        <v/>
      </c>
    </row>
    <row r="13" customFormat="false" ht="15" hidden="false" customHeight="false" outlineLevel="0" collapsed="false">
      <c r="A13" s="39" t="n">
        <v>10</v>
      </c>
      <c r="B13" s="40" t="n">
        <f aca="false">EDATE(Inputs!$B$8,A13-1)</f>
        <v>46447</v>
      </c>
      <c r="C13" s="39" t="n">
        <f aca="false">ROUNDUP(A13/12,0)</f>
        <v>1</v>
      </c>
      <c r="D13" s="39" t="n">
        <f aca="false">MOD(A13-1,12)+1</f>
        <v>10</v>
      </c>
      <c r="E13" s="41" t="n">
        <f aca="false">IF(A13&lt;Inputs!$B$9,0,MIN(1,(A13-Inputs!$B$9+1)/Inputs!$F$32))</f>
        <v>1</v>
      </c>
      <c r="F13" s="42" t="n">
        <f aca="false">Inputs!$B$14*Inputs!$B$13*Inputs!$F$23</f>
        <v>245</v>
      </c>
      <c r="G13" s="42" t="n">
        <f aca="false">F13*Inputs!$B$12*E13</f>
        <v>1399930</v>
      </c>
      <c r="H13" s="42" t="n">
        <f aca="false">INDEX(Inputs!$F$26:$H$26,1,C13)</f>
        <v>3490325603.845</v>
      </c>
      <c r="I13" s="43" t="n">
        <f aca="false">INDEX(Inputs!$F$27:$H$27,1,C13)</f>
        <v>0.05</v>
      </c>
      <c r="J13" s="42" t="n">
        <f aca="false">H13*Inputs!$B$18*I13/12*E13</f>
        <v>145430.233493542</v>
      </c>
      <c r="K13" s="42" t="n">
        <f aca="false">G13+J13</f>
        <v>1545360.23349354</v>
      </c>
      <c r="L13" s="42" t="n">
        <f aca="false">IF(A13=1,Inputs!$F$29,0)</f>
        <v>0</v>
      </c>
      <c r="M13" s="42" t="n">
        <f aca="false">IF(A13&gt;=Inputs!$B$9,INDEX(Inputs!$F$30:$H$30,1,C13),0)</f>
        <v>500000</v>
      </c>
      <c r="N13" s="42" t="n">
        <f aca="false">L13+M13</f>
        <v>500000</v>
      </c>
      <c r="O13" s="42" t="n">
        <f aca="false">K13-N13</f>
        <v>1045360.23349354</v>
      </c>
      <c r="P13" s="42" t="n">
        <f aca="false">R12</f>
        <v>500518.715785522</v>
      </c>
      <c r="Q13" s="42" t="n">
        <f aca="false">MAX(O13-P13,0)</f>
        <v>544841.517708019</v>
      </c>
      <c r="R13" s="42" t="n">
        <f aca="false">MAX(P13-O13,0)</f>
        <v>0</v>
      </c>
      <c r="S13" s="42" t="n">
        <f aca="false">Q13*Inputs!$B$11</f>
        <v>108968.303541604</v>
      </c>
      <c r="T13" s="42" t="n">
        <f aca="false">O13-S13</f>
        <v>936391.929951938</v>
      </c>
      <c r="U13" s="42" t="n">
        <f aca="false">U12+T13</f>
        <v>435873.214166416</v>
      </c>
      <c r="V13" s="44" t="n">
        <f aca="false">1/(1+Inputs!$B$10)^(A13/12)</f>
        <v>0.890058324450561</v>
      </c>
      <c r="W13" s="42" t="n">
        <f aca="false">T13*V13</f>
        <v>833443.432202049</v>
      </c>
      <c r="X13" s="42" t="n">
        <f aca="false">X12+W13</f>
        <v>21428.7910574335</v>
      </c>
      <c r="Y13" s="46" t="n">
        <f aca="false">IF(U13&gt;=0,A13,"")</f>
        <v>10</v>
      </c>
      <c r="Z13" s="46" t="n">
        <f aca="false">IF(X13&gt;=0,A13,"")</f>
        <v>10</v>
      </c>
    </row>
    <row r="14" customFormat="false" ht="15" hidden="false" customHeight="false" outlineLevel="0" collapsed="false">
      <c r="A14" s="39" t="n">
        <v>11</v>
      </c>
      <c r="B14" s="40" t="n">
        <f aca="false">EDATE(Inputs!$B$8,A14-1)</f>
        <v>46478</v>
      </c>
      <c r="C14" s="39" t="n">
        <f aca="false">ROUNDUP(A14/12,0)</f>
        <v>1</v>
      </c>
      <c r="D14" s="39" t="n">
        <f aca="false">MOD(A14-1,12)+1</f>
        <v>11</v>
      </c>
      <c r="E14" s="41" t="n">
        <f aca="false">IF(A14&lt;Inputs!$B$9,0,MIN(1,(A14-Inputs!$B$9+1)/Inputs!$F$32))</f>
        <v>1</v>
      </c>
      <c r="F14" s="42" t="n">
        <f aca="false">Inputs!$B$14*Inputs!$B$13*Inputs!$F$23</f>
        <v>245</v>
      </c>
      <c r="G14" s="42" t="n">
        <f aca="false">F14*Inputs!$B$12*E14</f>
        <v>1399930</v>
      </c>
      <c r="H14" s="42" t="n">
        <f aca="false">INDEX(Inputs!$F$26:$H$26,1,C14)</f>
        <v>3490325603.845</v>
      </c>
      <c r="I14" s="43" t="n">
        <f aca="false">INDEX(Inputs!$F$27:$H$27,1,C14)</f>
        <v>0.05</v>
      </c>
      <c r="J14" s="42" t="n">
        <f aca="false">H14*Inputs!$B$18*I14/12*E14</f>
        <v>145430.233493542</v>
      </c>
      <c r="K14" s="42" t="n">
        <f aca="false">G14+J14</f>
        <v>1545360.23349354</v>
      </c>
      <c r="L14" s="42" t="n">
        <f aca="false">IF(A14=1,Inputs!$F$29,0)</f>
        <v>0</v>
      </c>
      <c r="M14" s="42" t="n">
        <f aca="false">IF(A14&gt;=Inputs!$B$9,INDEX(Inputs!$F$30:$H$30,1,C14),0)</f>
        <v>500000</v>
      </c>
      <c r="N14" s="42" t="n">
        <f aca="false">L14+M14</f>
        <v>500000</v>
      </c>
      <c r="O14" s="42" t="n">
        <f aca="false">K14-N14</f>
        <v>1045360.23349354</v>
      </c>
      <c r="P14" s="42" t="n">
        <f aca="false">R13</f>
        <v>0</v>
      </c>
      <c r="Q14" s="42" t="n">
        <f aca="false">MAX(O14-P14,0)</f>
        <v>1045360.23349354</v>
      </c>
      <c r="R14" s="42" t="n">
        <f aca="false">MAX(P14-O14,0)</f>
        <v>0</v>
      </c>
      <c r="S14" s="42" t="n">
        <f aca="false">Q14*Inputs!$B$11</f>
        <v>209072.046698708</v>
      </c>
      <c r="T14" s="42" t="n">
        <f aca="false">O14-S14</f>
        <v>836288.186794833</v>
      </c>
      <c r="U14" s="42" t="n">
        <f aca="false">U13+T14</f>
        <v>1272161.40096125</v>
      </c>
      <c r="V14" s="44" t="n">
        <f aca="false">1/(1+Inputs!$B$10)^(A14/12)</f>
        <v>0.879752101669438</v>
      </c>
      <c r="W14" s="42" t="n">
        <f aca="false">T14*V14</f>
        <v>735726.289934078</v>
      </c>
      <c r="X14" s="42" t="n">
        <f aca="false">X13+W14</f>
        <v>757155.080991511</v>
      </c>
      <c r="Y14" s="46" t="n">
        <f aca="false">IF(U14&gt;=0,A14,"")</f>
        <v>11</v>
      </c>
      <c r="Z14" s="46" t="n">
        <f aca="false">IF(X14&gt;=0,A14,"")</f>
        <v>11</v>
      </c>
    </row>
    <row r="15" customFormat="false" ht="15" hidden="false" customHeight="false" outlineLevel="0" collapsed="false">
      <c r="A15" s="39" t="n">
        <v>12</v>
      </c>
      <c r="B15" s="40" t="n">
        <f aca="false">EDATE(Inputs!$B$8,A15-1)</f>
        <v>46508</v>
      </c>
      <c r="C15" s="39" t="n">
        <f aca="false">ROUNDUP(A15/12,0)</f>
        <v>1</v>
      </c>
      <c r="D15" s="39" t="n">
        <f aca="false">MOD(A15-1,12)+1</f>
        <v>12</v>
      </c>
      <c r="E15" s="41" t="n">
        <f aca="false">IF(A15&lt;Inputs!$B$9,0,MIN(1,(A15-Inputs!$B$9+1)/Inputs!$F$32))</f>
        <v>1</v>
      </c>
      <c r="F15" s="42" t="n">
        <f aca="false">Inputs!$B$14*Inputs!$B$13*Inputs!$F$23</f>
        <v>245</v>
      </c>
      <c r="G15" s="42" t="n">
        <f aca="false">F15*Inputs!$B$12*E15</f>
        <v>1399930</v>
      </c>
      <c r="H15" s="42" t="n">
        <f aca="false">INDEX(Inputs!$F$26:$H$26,1,C15)</f>
        <v>3490325603.845</v>
      </c>
      <c r="I15" s="43" t="n">
        <f aca="false">INDEX(Inputs!$F$27:$H$27,1,C15)</f>
        <v>0.05</v>
      </c>
      <c r="J15" s="42" t="n">
        <f aca="false">H15*Inputs!$B$18*I15/12*E15</f>
        <v>145430.233493542</v>
      </c>
      <c r="K15" s="42" t="n">
        <f aca="false">G15+J15</f>
        <v>1545360.23349354</v>
      </c>
      <c r="L15" s="42" t="n">
        <f aca="false">IF(A15=1,Inputs!$F$29,0)</f>
        <v>0</v>
      </c>
      <c r="M15" s="42" t="n">
        <f aca="false">IF(A15&gt;=Inputs!$B$9,INDEX(Inputs!$F$30:$H$30,1,C15),0)</f>
        <v>500000</v>
      </c>
      <c r="N15" s="42" t="n">
        <f aca="false">L15+M15</f>
        <v>500000</v>
      </c>
      <c r="O15" s="42" t="n">
        <f aca="false">K15-N15</f>
        <v>1045360.23349354</v>
      </c>
      <c r="P15" s="42" t="n">
        <f aca="false">R14</f>
        <v>0</v>
      </c>
      <c r="Q15" s="42" t="n">
        <f aca="false">MAX(O15-P15,0)</f>
        <v>1045360.23349354</v>
      </c>
      <c r="R15" s="42" t="n">
        <f aca="false">MAX(P15-O15,0)</f>
        <v>0</v>
      </c>
      <c r="S15" s="42" t="n">
        <f aca="false">Q15*Inputs!$B$11</f>
        <v>209072.046698708</v>
      </c>
      <c r="T15" s="42" t="n">
        <f aca="false">O15-S15</f>
        <v>836288.186794833</v>
      </c>
      <c r="U15" s="42" t="n">
        <f aca="false">U14+T15</f>
        <v>2108449.58775608</v>
      </c>
      <c r="V15" s="44" t="n">
        <f aca="false">1/(1+Inputs!$B$10)^(A15/12)</f>
        <v>0.869565217391304</v>
      </c>
      <c r="W15" s="42" t="n">
        <f aca="false">T15*V15</f>
        <v>727207.118952029</v>
      </c>
      <c r="X15" s="42" t="n">
        <f aca="false">X14+W15</f>
        <v>1484362.19994354</v>
      </c>
      <c r="Y15" s="46" t="n">
        <f aca="false">IF(U15&gt;=0,A15,"")</f>
        <v>12</v>
      </c>
      <c r="Z15" s="46" t="n">
        <f aca="false">IF(X15&gt;=0,A15,"")</f>
        <v>12</v>
      </c>
    </row>
    <row r="16" customFormat="false" ht="15" hidden="false" customHeight="false" outlineLevel="0" collapsed="false">
      <c r="A16" s="39" t="n">
        <v>13</v>
      </c>
      <c r="B16" s="40" t="n">
        <f aca="false">EDATE(Inputs!$B$8,A16-1)</f>
        <v>46539</v>
      </c>
      <c r="C16" s="39" t="n">
        <f aca="false">ROUNDUP(A16/12,0)</f>
        <v>2</v>
      </c>
      <c r="D16" s="39" t="n">
        <f aca="false">MOD(A16-1,12)+1</f>
        <v>1</v>
      </c>
      <c r="E16" s="41" t="n">
        <f aca="false">IF(A16&lt;Inputs!$B$9,0,MIN(1,(A16-Inputs!$B$9+1)/Inputs!$F$32))</f>
        <v>1</v>
      </c>
      <c r="F16" s="42" t="n">
        <f aca="false">Inputs!$B$14*Inputs!$B$13*Inputs!$F$23</f>
        <v>245</v>
      </c>
      <c r="G16" s="42" t="n">
        <f aca="false">F16*Inputs!$B$12*E16</f>
        <v>1399930</v>
      </c>
      <c r="H16" s="42" t="n">
        <f aca="false">INDEX(Inputs!$F$26:$H$26,1,C16)</f>
        <v>5060972125.57525</v>
      </c>
      <c r="I16" s="43" t="n">
        <f aca="false">INDEX(Inputs!$F$27:$H$27,1,C16)</f>
        <v>0.05</v>
      </c>
      <c r="J16" s="42" t="n">
        <f aca="false">H16*Inputs!$B$18*I16/12*E16</f>
        <v>210873.838565635</v>
      </c>
      <c r="K16" s="42" t="n">
        <f aca="false">G16+J16</f>
        <v>1610803.83856564</v>
      </c>
      <c r="L16" s="42" t="n">
        <f aca="false">IF(A16=1,Inputs!$F$29,0)</f>
        <v>0</v>
      </c>
      <c r="M16" s="42" t="n">
        <f aca="false">IF(A16&gt;=Inputs!$B$9,INDEX(Inputs!$F$30:$H$30,1,C16),0)</f>
        <v>520000</v>
      </c>
      <c r="N16" s="42" t="n">
        <f aca="false">L16+M16</f>
        <v>520000</v>
      </c>
      <c r="O16" s="42" t="n">
        <f aca="false">K16-N16</f>
        <v>1090803.83856564</v>
      </c>
      <c r="P16" s="42" t="n">
        <f aca="false">R15</f>
        <v>0</v>
      </c>
      <c r="Q16" s="42" t="n">
        <f aca="false">MAX(O16-P16,0)</f>
        <v>1090803.83856564</v>
      </c>
      <c r="R16" s="42" t="n">
        <f aca="false">MAX(P16-O16,0)</f>
        <v>0</v>
      </c>
      <c r="S16" s="42" t="n">
        <f aca="false">Q16*Inputs!$B$11</f>
        <v>218160.767713127</v>
      </c>
      <c r="T16" s="42" t="n">
        <f aca="false">O16-S16</f>
        <v>872643.070852508</v>
      </c>
      <c r="U16" s="42" t="n">
        <f aca="false">U15+T16</f>
        <v>2981092.65860859</v>
      </c>
      <c r="V16" s="44" t="n">
        <f aca="false">1/(1+Inputs!$B$10)^(A16/12)</f>
        <v>0.859496289763799</v>
      </c>
      <c r="W16" s="42" t="n">
        <f aca="false">T16*V16</f>
        <v>750033.481685819</v>
      </c>
      <c r="X16" s="42" t="n">
        <f aca="false">X15+W16</f>
        <v>2234395.68162936</v>
      </c>
      <c r="Y16" s="46" t="n">
        <f aca="false">IF(U16&gt;=0,A16,"")</f>
        <v>13</v>
      </c>
      <c r="Z16" s="46" t="n">
        <f aca="false">IF(X16&gt;=0,A16,"")</f>
        <v>13</v>
      </c>
    </row>
    <row r="17" customFormat="false" ht="15" hidden="false" customHeight="false" outlineLevel="0" collapsed="false">
      <c r="A17" s="39" t="n">
        <v>14</v>
      </c>
      <c r="B17" s="40" t="n">
        <f aca="false">EDATE(Inputs!$B$8,A17-1)</f>
        <v>46569</v>
      </c>
      <c r="C17" s="39" t="n">
        <f aca="false">ROUNDUP(A17/12,0)</f>
        <v>2</v>
      </c>
      <c r="D17" s="39" t="n">
        <f aca="false">MOD(A17-1,12)+1</f>
        <v>2</v>
      </c>
      <c r="E17" s="41" t="n">
        <f aca="false">IF(A17&lt;Inputs!$B$9,0,MIN(1,(A17-Inputs!$B$9+1)/Inputs!$F$32))</f>
        <v>1</v>
      </c>
      <c r="F17" s="42" t="n">
        <f aca="false">Inputs!$B$14*Inputs!$B$13*Inputs!$F$23</f>
        <v>245</v>
      </c>
      <c r="G17" s="42" t="n">
        <f aca="false">F17*Inputs!$B$12*E17</f>
        <v>1399930</v>
      </c>
      <c r="H17" s="42" t="n">
        <f aca="false">INDEX(Inputs!$F$26:$H$26,1,C17)</f>
        <v>5060972125.57525</v>
      </c>
      <c r="I17" s="43" t="n">
        <f aca="false">INDEX(Inputs!$F$27:$H$27,1,C17)</f>
        <v>0.05</v>
      </c>
      <c r="J17" s="42" t="n">
        <f aca="false">H17*Inputs!$B$18*I17/12*E17</f>
        <v>210873.838565635</v>
      </c>
      <c r="K17" s="42" t="n">
        <f aca="false">G17+J17</f>
        <v>1610803.83856564</v>
      </c>
      <c r="L17" s="42" t="n">
        <f aca="false">IF(A17=1,Inputs!$F$29,0)</f>
        <v>0</v>
      </c>
      <c r="M17" s="42" t="n">
        <f aca="false">IF(A17&gt;=Inputs!$B$9,INDEX(Inputs!$F$30:$H$30,1,C17),0)</f>
        <v>520000</v>
      </c>
      <c r="N17" s="42" t="n">
        <f aca="false">L17+M17</f>
        <v>520000</v>
      </c>
      <c r="O17" s="42" t="n">
        <f aca="false">K17-N17</f>
        <v>1090803.83856564</v>
      </c>
      <c r="P17" s="42" t="n">
        <f aca="false">R16</f>
        <v>0</v>
      </c>
      <c r="Q17" s="42" t="n">
        <f aca="false">MAX(O17-P17,0)</f>
        <v>1090803.83856564</v>
      </c>
      <c r="R17" s="42" t="n">
        <f aca="false">MAX(P17-O17,0)</f>
        <v>0</v>
      </c>
      <c r="S17" s="42" t="n">
        <f aca="false">Q17*Inputs!$B$11</f>
        <v>218160.767713127</v>
      </c>
      <c r="T17" s="42" t="n">
        <f aca="false">O17-S17</f>
        <v>872643.070852508</v>
      </c>
      <c r="U17" s="42" t="n">
        <f aca="false">U16+T17</f>
        <v>3853735.7294611</v>
      </c>
      <c r="V17" s="44" t="n">
        <f aca="false">1/(1+Inputs!$B$10)^(A17/12)</f>
        <v>0.849543952935397</v>
      </c>
      <c r="W17" s="42" t="n">
        <f aca="false">T17*V17</f>
        <v>741348.643913724</v>
      </c>
      <c r="X17" s="42" t="n">
        <f aca="false">X16+W17</f>
        <v>2975744.32554308</v>
      </c>
      <c r="Y17" s="46" t="n">
        <f aca="false">IF(U17&gt;=0,A17,"")</f>
        <v>14</v>
      </c>
      <c r="Z17" s="46" t="n">
        <f aca="false">IF(X17&gt;=0,A17,"")</f>
        <v>14</v>
      </c>
    </row>
    <row r="18" customFormat="false" ht="15" hidden="false" customHeight="false" outlineLevel="0" collapsed="false">
      <c r="A18" s="39" t="n">
        <v>15</v>
      </c>
      <c r="B18" s="40" t="n">
        <f aca="false">EDATE(Inputs!$B$8,A18-1)</f>
        <v>46600</v>
      </c>
      <c r="C18" s="39" t="n">
        <f aca="false">ROUNDUP(A18/12,0)</f>
        <v>2</v>
      </c>
      <c r="D18" s="39" t="n">
        <f aca="false">MOD(A18-1,12)+1</f>
        <v>3</v>
      </c>
      <c r="E18" s="41" t="n">
        <f aca="false">IF(A18&lt;Inputs!$B$9,0,MIN(1,(A18-Inputs!$B$9+1)/Inputs!$F$32))</f>
        <v>1</v>
      </c>
      <c r="F18" s="42" t="n">
        <f aca="false">Inputs!$B$14*Inputs!$B$13*Inputs!$F$23</f>
        <v>245</v>
      </c>
      <c r="G18" s="42" t="n">
        <f aca="false">F18*Inputs!$B$12*E18</f>
        <v>1399930</v>
      </c>
      <c r="H18" s="42" t="n">
        <f aca="false">INDEX(Inputs!$F$26:$H$26,1,C18)</f>
        <v>5060972125.57525</v>
      </c>
      <c r="I18" s="43" t="n">
        <f aca="false">INDEX(Inputs!$F$27:$H$27,1,C18)</f>
        <v>0.05</v>
      </c>
      <c r="J18" s="42" t="n">
        <f aca="false">H18*Inputs!$B$18*I18/12*E18</f>
        <v>210873.838565635</v>
      </c>
      <c r="K18" s="42" t="n">
        <f aca="false">G18+J18</f>
        <v>1610803.83856564</v>
      </c>
      <c r="L18" s="42" t="n">
        <f aca="false">IF(A18=1,Inputs!$F$29,0)</f>
        <v>0</v>
      </c>
      <c r="M18" s="42" t="n">
        <f aca="false">IF(A18&gt;=Inputs!$B$9,INDEX(Inputs!$F$30:$H$30,1,C18),0)</f>
        <v>520000</v>
      </c>
      <c r="N18" s="42" t="n">
        <f aca="false">L18+M18</f>
        <v>520000</v>
      </c>
      <c r="O18" s="42" t="n">
        <f aca="false">K18-N18</f>
        <v>1090803.83856564</v>
      </c>
      <c r="P18" s="42" t="n">
        <f aca="false">R17</f>
        <v>0</v>
      </c>
      <c r="Q18" s="42" t="n">
        <f aca="false">MAX(O18-P18,0)</f>
        <v>1090803.83856564</v>
      </c>
      <c r="R18" s="42" t="n">
        <f aca="false">MAX(P18-O18,0)</f>
        <v>0</v>
      </c>
      <c r="S18" s="42" t="n">
        <f aca="false">Q18*Inputs!$B$11</f>
        <v>218160.767713127</v>
      </c>
      <c r="T18" s="42" t="n">
        <f aca="false">O18-S18</f>
        <v>872643.070852508</v>
      </c>
      <c r="U18" s="42" t="n">
        <f aca="false">U17+T18</f>
        <v>4726378.80031361</v>
      </c>
      <c r="V18" s="44" t="n">
        <f aca="false">1/(1+Inputs!$B$10)^(A18/12)</f>
        <v>0.839706856870133</v>
      </c>
      <c r="W18" s="42" t="n">
        <f aca="false">T18*V18</f>
        <v>732764.37019506</v>
      </c>
      <c r="X18" s="42" t="n">
        <f aca="false">X17+W18</f>
        <v>3708508.69573814</v>
      </c>
      <c r="Y18" s="46" t="n">
        <f aca="false">IF(U18&gt;=0,A18,"")</f>
        <v>15</v>
      </c>
      <c r="Z18" s="46" t="n">
        <f aca="false">IF(X18&gt;=0,A18,"")</f>
        <v>15</v>
      </c>
    </row>
    <row r="19" customFormat="false" ht="15" hidden="false" customHeight="false" outlineLevel="0" collapsed="false">
      <c r="A19" s="39" t="n">
        <v>16</v>
      </c>
      <c r="B19" s="40" t="n">
        <f aca="false">EDATE(Inputs!$B$8,A19-1)</f>
        <v>46631</v>
      </c>
      <c r="C19" s="39" t="n">
        <f aca="false">ROUNDUP(A19/12,0)</f>
        <v>2</v>
      </c>
      <c r="D19" s="39" t="n">
        <f aca="false">MOD(A19-1,12)+1</f>
        <v>4</v>
      </c>
      <c r="E19" s="41" t="n">
        <f aca="false">IF(A19&lt;Inputs!$B$9,0,MIN(1,(A19-Inputs!$B$9+1)/Inputs!$F$32))</f>
        <v>1</v>
      </c>
      <c r="F19" s="42" t="n">
        <f aca="false">Inputs!$B$14*Inputs!$B$13*Inputs!$F$23</f>
        <v>245</v>
      </c>
      <c r="G19" s="42" t="n">
        <f aca="false">F19*Inputs!$B$12*E19</f>
        <v>1399930</v>
      </c>
      <c r="H19" s="42" t="n">
        <f aca="false">INDEX(Inputs!$F$26:$H$26,1,C19)</f>
        <v>5060972125.57525</v>
      </c>
      <c r="I19" s="43" t="n">
        <f aca="false">INDEX(Inputs!$F$27:$H$27,1,C19)</f>
        <v>0.05</v>
      </c>
      <c r="J19" s="42" t="n">
        <f aca="false">H19*Inputs!$B$18*I19/12*E19</f>
        <v>210873.838565635</v>
      </c>
      <c r="K19" s="42" t="n">
        <f aca="false">G19+J19</f>
        <v>1610803.83856564</v>
      </c>
      <c r="L19" s="42" t="n">
        <f aca="false">IF(A19=1,Inputs!$F$29,0)</f>
        <v>0</v>
      </c>
      <c r="M19" s="42" t="n">
        <f aca="false">IF(A19&gt;=Inputs!$B$9,INDEX(Inputs!$F$30:$H$30,1,C19),0)</f>
        <v>520000</v>
      </c>
      <c r="N19" s="42" t="n">
        <f aca="false">L19+M19</f>
        <v>520000</v>
      </c>
      <c r="O19" s="42" t="n">
        <f aca="false">K19-N19</f>
        <v>1090803.83856564</v>
      </c>
      <c r="P19" s="42" t="n">
        <f aca="false">R18</f>
        <v>0</v>
      </c>
      <c r="Q19" s="42" t="n">
        <f aca="false">MAX(O19-P19,0)</f>
        <v>1090803.83856564</v>
      </c>
      <c r="R19" s="42" t="n">
        <f aca="false">MAX(P19-O19,0)</f>
        <v>0</v>
      </c>
      <c r="S19" s="42" t="n">
        <f aca="false">Q19*Inputs!$B$11</f>
        <v>218160.767713127</v>
      </c>
      <c r="T19" s="42" t="n">
        <f aca="false">O19-S19</f>
        <v>872643.070852508</v>
      </c>
      <c r="U19" s="42" t="n">
        <f aca="false">U18+T19</f>
        <v>5599021.87116611</v>
      </c>
      <c r="V19" s="44" t="n">
        <f aca="false">1/(1+Inputs!$B$10)^(A19/12)</f>
        <v>0.829983667164466</v>
      </c>
      <c r="W19" s="42" t="n">
        <f aca="false">T19*V19</f>
        <v>724279.496071826</v>
      </c>
      <c r="X19" s="42" t="n">
        <f aca="false">X18+W19</f>
        <v>4432788.19180997</v>
      </c>
      <c r="Y19" s="46" t="n">
        <f aca="false">IF(U19&gt;=0,A19,"")</f>
        <v>16</v>
      </c>
      <c r="Z19" s="46" t="n">
        <f aca="false">IF(X19&gt;=0,A19,"")</f>
        <v>16</v>
      </c>
    </row>
    <row r="20" customFormat="false" ht="15" hidden="false" customHeight="false" outlineLevel="0" collapsed="false">
      <c r="A20" s="39" t="n">
        <v>17</v>
      </c>
      <c r="B20" s="40" t="n">
        <f aca="false">EDATE(Inputs!$B$8,A20-1)</f>
        <v>46661</v>
      </c>
      <c r="C20" s="39" t="n">
        <f aca="false">ROUNDUP(A20/12,0)</f>
        <v>2</v>
      </c>
      <c r="D20" s="39" t="n">
        <f aca="false">MOD(A20-1,12)+1</f>
        <v>5</v>
      </c>
      <c r="E20" s="41" t="n">
        <f aca="false">IF(A20&lt;Inputs!$B$9,0,MIN(1,(A20-Inputs!$B$9+1)/Inputs!$F$32))</f>
        <v>1</v>
      </c>
      <c r="F20" s="42" t="n">
        <f aca="false">Inputs!$B$14*Inputs!$B$13*Inputs!$F$23</f>
        <v>245</v>
      </c>
      <c r="G20" s="42" t="n">
        <f aca="false">F20*Inputs!$B$12*E20</f>
        <v>1399930</v>
      </c>
      <c r="H20" s="42" t="n">
        <f aca="false">INDEX(Inputs!$F$26:$H$26,1,C20)</f>
        <v>5060972125.57525</v>
      </c>
      <c r="I20" s="43" t="n">
        <f aca="false">INDEX(Inputs!$F$27:$H$27,1,C20)</f>
        <v>0.05</v>
      </c>
      <c r="J20" s="42" t="n">
        <f aca="false">H20*Inputs!$B$18*I20/12*E20</f>
        <v>210873.838565635</v>
      </c>
      <c r="K20" s="42" t="n">
        <f aca="false">G20+J20</f>
        <v>1610803.83856564</v>
      </c>
      <c r="L20" s="42" t="n">
        <f aca="false">IF(A20=1,Inputs!$F$29,0)</f>
        <v>0</v>
      </c>
      <c r="M20" s="42" t="n">
        <f aca="false">IF(A20&gt;=Inputs!$B$9,INDEX(Inputs!$F$30:$H$30,1,C20),0)</f>
        <v>520000</v>
      </c>
      <c r="N20" s="42" t="n">
        <f aca="false">L20+M20</f>
        <v>520000</v>
      </c>
      <c r="O20" s="42" t="n">
        <f aca="false">K20-N20</f>
        <v>1090803.83856564</v>
      </c>
      <c r="P20" s="42" t="n">
        <f aca="false">R19</f>
        <v>0</v>
      </c>
      <c r="Q20" s="42" t="n">
        <f aca="false">MAX(O20-P20,0)</f>
        <v>1090803.83856564</v>
      </c>
      <c r="R20" s="42" t="n">
        <f aca="false">MAX(P20-O20,0)</f>
        <v>0</v>
      </c>
      <c r="S20" s="42" t="n">
        <f aca="false">Q20*Inputs!$B$11</f>
        <v>218160.767713127</v>
      </c>
      <c r="T20" s="42" t="n">
        <f aca="false">O20-S20</f>
        <v>872643.070852508</v>
      </c>
      <c r="U20" s="42" t="n">
        <f aca="false">U19+T20</f>
        <v>6471664.94201862</v>
      </c>
      <c r="V20" s="44" t="n">
        <f aca="false">1/(1+Inputs!$B$10)^(A20/12)</f>
        <v>0.820373064866272</v>
      </c>
      <c r="W20" s="42" t="n">
        <f aca="false">T20*V20</f>
        <v>715892.870569588</v>
      </c>
      <c r="X20" s="42" t="n">
        <f aca="false">X19+W20</f>
        <v>5148681.06237956</v>
      </c>
      <c r="Y20" s="46" t="n">
        <f aca="false">IF(U20&gt;=0,A20,"")</f>
        <v>17</v>
      </c>
      <c r="Z20" s="46" t="n">
        <f aca="false">IF(X20&gt;=0,A20,"")</f>
        <v>17</v>
      </c>
    </row>
    <row r="21" customFormat="false" ht="15" hidden="false" customHeight="false" outlineLevel="0" collapsed="false">
      <c r="A21" s="39" t="n">
        <v>18</v>
      </c>
      <c r="B21" s="40" t="n">
        <f aca="false">EDATE(Inputs!$B$8,A21-1)</f>
        <v>46692</v>
      </c>
      <c r="C21" s="39" t="n">
        <f aca="false">ROUNDUP(A21/12,0)</f>
        <v>2</v>
      </c>
      <c r="D21" s="39" t="n">
        <f aca="false">MOD(A21-1,12)+1</f>
        <v>6</v>
      </c>
      <c r="E21" s="41" t="n">
        <f aca="false">IF(A21&lt;Inputs!$B$9,0,MIN(1,(A21-Inputs!$B$9+1)/Inputs!$F$32))</f>
        <v>1</v>
      </c>
      <c r="F21" s="42" t="n">
        <f aca="false">Inputs!$B$14*Inputs!$B$13*Inputs!$F$23</f>
        <v>245</v>
      </c>
      <c r="G21" s="42" t="n">
        <f aca="false">F21*Inputs!$B$12*E21</f>
        <v>1399930</v>
      </c>
      <c r="H21" s="42" t="n">
        <f aca="false">INDEX(Inputs!$F$26:$H$26,1,C21)</f>
        <v>5060972125.57525</v>
      </c>
      <c r="I21" s="43" t="n">
        <f aca="false">INDEX(Inputs!$F$27:$H$27,1,C21)</f>
        <v>0.05</v>
      </c>
      <c r="J21" s="42" t="n">
        <f aca="false">H21*Inputs!$B$18*I21/12*E21</f>
        <v>210873.838565635</v>
      </c>
      <c r="K21" s="42" t="n">
        <f aca="false">G21+J21</f>
        <v>1610803.83856564</v>
      </c>
      <c r="L21" s="42" t="n">
        <f aca="false">IF(A21=1,Inputs!$F$29,0)</f>
        <v>0</v>
      </c>
      <c r="M21" s="42" t="n">
        <f aca="false">IF(A21&gt;=Inputs!$B$9,INDEX(Inputs!$F$30:$H$30,1,C21),0)</f>
        <v>520000</v>
      </c>
      <c r="N21" s="42" t="n">
        <f aca="false">L21+M21</f>
        <v>520000</v>
      </c>
      <c r="O21" s="42" t="n">
        <f aca="false">K21-N21</f>
        <v>1090803.83856564</v>
      </c>
      <c r="P21" s="42" t="n">
        <f aca="false">R20</f>
        <v>0</v>
      </c>
      <c r="Q21" s="42" t="n">
        <f aca="false">MAX(O21-P21,0)</f>
        <v>1090803.83856564</v>
      </c>
      <c r="R21" s="42" t="n">
        <f aca="false">MAX(P21-O21,0)</f>
        <v>0</v>
      </c>
      <c r="S21" s="42" t="n">
        <f aca="false">Q21*Inputs!$B$11</f>
        <v>218160.767713127</v>
      </c>
      <c r="T21" s="42" t="n">
        <f aca="false">O21-S21</f>
        <v>872643.070852508</v>
      </c>
      <c r="U21" s="42" t="n">
        <f aca="false">U20+T21</f>
        <v>7344308.01287113</v>
      </c>
      <c r="V21" s="44" t="n">
        <f aca="false">1/(1+Inputs!$B$10)^(A21/12)</f>
        <v>0.810873746295925</v>
      </c>
      <c r="W21" s="42" t="n">
        <f aca="false">T21*V21</f>
        <v>707603.356041354</v>
      </c>
      <c r="X21" s="42" t="n">
        <f aca="false">X20+W21</f>
        <v>5856284.41842091</v>
      </c>
      <c r="Y21" s="46" t="n">
        <f aca="false">IF(U21&gt;=0,A21,"")</f>
        <v>18</v>
      </c>
      <c r="Z21" s="46" t="n">
        <f aca="false">IF(X21&gt;=0,A21,"")</f>
        <v>18</v>
      </c>
    </row>
    <row r="22" customFormat="false" ht="15" hidden="false" customHeight="false" outlineLevel="0" collapsed="false">
      <c r="A22" s="39" t="n">
        <v>19</v>
      </c>
      <c r="B22" s="40" t="n">
        <f aca="false">EDATE(Inputs!$B$8,A22-1)</f>
        <v>46722</v>
      </c>
      <c r="C22" s="39" t="n">
        <f aca="false">ROUNDUP(A22/12,0)</f>
        <v>2</v>
      </c>
      <c r="D22" s="39" t="n">
        <f aca="false">MOD(A22-1,12)+1</f>
        <v>7</v>
      </c>
      <c r="E22" s="41" t="n">
        <f aca="false">IF(A22&lt;Inputs!$B$9,0,MIN(1,(A22-Inputs!$B$9+1)/Inputs!$F$32))</f>
        <v>1</v>
      </c>
      <c r="F22" s="42" t="n">
        <f aca="false">Inputs!$B$14*Inputs!$B$13*Inputs!$F$23</f>
        <v>245</v>
      </c>
      <c r="G22" s="42" t="n">
        <f aca="false">F22*Inputs!$B$12*E22</f>
        <v>1399930</v>
      </c>
      <c r="H22" s="42" t="n">
        <f aca="false">INDEX(Inputs!$F$26:$H$26,1,C22)</f>
        <v>5060972125.57525</v>
      </c>
      <c r="I22" s="43" t="n">
        <f aca="false">INDEX(Inputs!$F$27:$H$27,1,C22)</f>
        <v>0.05</v>
      </c>
      <c r="J22" s="42" t="n">
        <f aca="false">H22*Inputs!$B$18*I22/12*E22</f>
        <v>210873.838565635</v>
      </c>
      <c r="K22" s="42" t="n">
        <f aca="false">G22+J22</f>
        <v>1610803.83856564</v>
      </c>
      <c r="L22" s="42" t="n">
        <f aca="false">IF(A22=1,Inputs!$F$29,0)</f>
        <v>0</v>
      </c>
      <c r="M22" s="42" t="n">
        <f aca="false">IF(A22&gt;=Inputs!$B$9,INDEX(Inputs!$F$30:$H$30,1,C22),0)</f>
        <v>520000</v>
      </c>
      <c r="N22" s="42" t="n">
        <f aca="false">L22+M22</f>
        <v>520000</v>
      </c>
      <c r="O22" s="42" t="n">
        <f aca="false">K22-N22</f>
        <v>1090803.83856564</v>
      </c>
      <c r="P22" s="42" t="n">
        <f aca="false">R21</f>
        <v>0</v>
      </c>
      <c r="Q22" s="42" t="n">
        <f aca="false">MAX(O22-P22,0)</f>
        <v>1090803.83856564</v>
      </c>
      <c r="R22" s="42" t="n">
        <f aca="false">MAX(P22-O22,0)</f>
        <v>0</v>
      </c>
      <c r="S22" s="42" t="n">
        <f aca="false">Q22*Inputs!$B$11</f>
        <v>218160.767713127</v>
      </c>
      <c r="T22" s="42" t="n">
        <f aca="false">O22-S22</f>
        <v>872643.070852508</v>
      </c>
      <c r="U22" s="42" t="n">
        <f aca="false">U21+T22</f>
        <v>8216951.08372364</v>
      </c>
      <c r="V22" s="44" t="n">
        <f aca="false">1/(1+Inputs!$B$10)^(A22/12)</f>
        <v>0.801484422869453</v>
      </c>
      <c r="W22" s="42" t="n">
        <f aca="false">T22*V22</f>
        <v>699409.82801325</v>
      </c>
      <c r="X22" s="42" t="n">
        <f aca="false">X21+W22</f>
        <v>6555694.24643416</v>
      </c>
      <c r="Y22" s="46" t="n">
        <f aca="false">IF(U22&gt;=0,A22,"")</f>
        <v>19</v>
      </c>
      <c r="Z22" s="46" t="n">
        <f aca="false">IF(X22&gt;=0,A22,"")</f>
        <v>19</v>
      </c>
    </row>
    <row r="23" customFormat="false" ht="15" hidden="false" customHeight="false" outlineLevel="0" collapsed="false">
      <c r="A23" s="39" t="n">
        <v>20</v>
      </c>
      <c r="B23" s="40" t="n">
        <f aca="false">EDATE(Inputs!$B$8,A23-1)</f>
        <v>46753</v>
      </c>
      <c r="C23" s="39" t="n">
        <f aca="false">ROUNDUP(A23/12,0)</f>
        <v>2</v>
      </c>
      <c r="D23" s="39" t="n">
        <f aca="false">MOD(A23-1,12)+1</f>
        <v>8</v>
      </c>
      <c r="E23" s="41" t="n">
        <f aca="false">IF(A23&lt;Inputs!$B$9,0,MIN(1,(A23-Inputs!$B$9+1)/Inputs!$F$32))</f>
        <v>1</v>
      </c>
      <c r="F23" s="42" t="n">
        <f aca="false">Inputs!$B$14*Inputs!$B$13*Inputs!$F$23</f>
        <v>245</v>
      </c>
      <c r="G23" s="42" t="n">
        <f aca="false">F23*Inputs!$B$12*E23</f>
        <v>1399930</v>
      </c>
      <c r="H23" s="42" t="n">
        <f aca="false">INDEX(Inputs!$F$26:$H$26,1,C23)</f>
        <v>5060972125.57525</v>
      </c>
      <c r="I23" s="43" t="n">
        <f aca="false">INDEX(Inputs!$F$27:$H$27,1,C23)</f>
        <v>0.05</v>
      </c>
      <c r="J23" s="42" t="n">
        <f aca="false">H23*Inputs!$B$18*I23/12*E23</f>
        <v>210873.838565635</v>
      </c>
      <c r="K23" s="42" t="n">
        <f aca="false">G23+J23</f>
        <v>1610803.83856564</v>
      </c>
      <c r="L23" s="42" t="n">
        <f aca="false">IF(A23=1,Inputs!$F$29,0)</f>
        <v>0</v>
      </c>
      <c r="M23" s="42" t="n">
        <f aca="false">IF(A23&gt;=Inputs!$B$9,INDEX(Inputs!$F$30:$H$30,1,C23),0)</f>
        <v>520000</v>
      </c>
      <c r="N23" s="42" t="n">
        <f aca="false">L23+M23</f>
        <v>520000</v>
      </c>
      <c r="O23" s="42" t="n">
        <f aca="false">K23-N23</f>
        <v>1090803.83856564</v>
      </c>
      <c r="P23" s="42" t="n">
        <f aca="false">R22</f>
        <v>0</v>
      </c>
      <c r="Q23" s="42" t="n">
        <f aca="false">MAX(O23-P23,0)</f>
        <v>1090803.83856564</v>
      </c>
      <c r="R23" s="42" t="n">
        <f aca="false">MAX(P23-O23,0)</f>
        <v>0</v>
      </c>
      <c r="S23" s="42" t="n">
        <f aca="false">Q23*Inputs!$B$11</f>
        <v>218160.767713127</v>
      </c>
      <c r="T23" s="42" t="n">
        <f aca="false">O23-S23</f>
        <v>872643.070852508</v>
      </c>
      <c r="U23" s="42" t="n">
        <f aca="false">U22+T23</f>
        <v>9089594.15457615</v>
      </c>
      <c r="V23" s="44" t="n">
        <f aca="false">1/(1+Inputs!$B$10)^(A23/12)</f>
        <v>0.792203820923741</v>
      </c>
      <c r="W23" s="42" t="n">
        <f aca="false">T23*V23</f>
        <v>691311.175031984</v>
      </c>
      <c r="X23" s="42" t="n">
        <f aca="false">X22+W23</f>
        <v>7247005.42146614</v>
      </c>
      <c r="Y23" s="46" t="n">
        <f aca="false">IF(U23&gt;=0,A23,"")</f>
        <v>20</v>
      </c>
      <c r="Z23" s="46" t="n">
        <f aca="false">IF(X23&gt;=0,A23,"")</f>
        <v>20</v>
      </c>
    </row>
    <row r="24" customFormat="false" ht="15" hidden="false" customHeight="false" outlineLevel="0" collapsed="false">
      <c r="A24" s="39" t="n">
        <v>21</v>
      </c>
      <c r="B24" s="40" t="n">
        <f aca="false">EDATE(Inputs!$B$8,A24-1)</f>
        <v>46784</v>
      </c>
      <c r="C24" s="39" t="n">
        <f aca="false">ROUNDUP(A24/12,0)</f>
        <v>2</v>
      </c>
      <c r="D24" s="39" t="n">
        <f aca="false">MOD(A24-1,12)+1</f>
        <v>9</v>
      </c>
      <c r="E24" s="41" t="n">
        <f aca="false">IF(A24&lt;Inputs!$B$9,0,MIN(1,(A24-Inputs!$B$9+1)/Inputs!$F$32))</f>
        <v>1</v>
      </c>
      <c r="F24" s="42" t="n">
        <f aca="false">Inputs!$B$14*Inputs!$B$13*Inputs!$F$23</f>
        <v>245</v>
      </c>
      <c r="G24" s="42" t="n">
        <f aca="false">F24*Inputs!$B$12*E24</f>
        <v>1399930</v>
      </c>
      <c r="H24" s="42" t="n">
        <f aca="false">INDEX(Inputs!$F$26:$H$26,1,C24)</f>
        <v>5060972125.57525</v>
      </c>
      <c r="I24" s="43" t="n">
        <f aca="false">INDEX(Inputs!$F$27:$H$27,1,C24)</f>
        <v>0.05</v>
      </c>
      <c r="J24" s="42" t="n">
        <f aca="false">H24*Inputs!$B$18*I24/12*E24</f>
        <v>210873.838565635</v>
      </c>
      <c r="K24" s="42" t="n">
        <f aca="false">G24+J24</f>
        <v>1610803.83856564</v>
      </c>
      <c r="L24" s="42" t="n">
        <f aca="false">IF(A24=1,Inputs!$F$29,0)</f>
        <v>0</v>
      </c>
      <c r="M24" s="42" t="n">
        <f aca="false">IF(A24&gt;=Inputs!$B$9,INDEX(Inputs!$F$30:$H$30,1,C24),0)</f>
        <v>520000</v>
      </c>
      <c r="N24" s="42" t="n">
        <f aca="false">L24+M24</f>
        <v>520000</v>
      </c>
      <c r="O24" s="42" t="n">
        <f aca="false">K24-N24</f>
        <v>1090803.83856564</v>
      </c>
      <c r="P24" s="42" t="n">
        <f aca="false">R23</f>
        <v>0</v>
      </c>
      <c r="Q24" s="42" t="n">
        <f aca="false">MAX(O24-P24,0)</f>
        <v>1090803.83856564</v>
      </c>
      <c r="R24" s="42" t="n">
        <f aca="false">MAX(P24-O24,0)</f>
        <v>0</v>
      </c>
      <c r="S24" s="42" t="n">
        <f aca="false">Q24*Inputs!$B$11</f>
        <v>218160.767713127</v>
      </c>
      <c r="T24" s="42" t="n">
        <f aca="false">O24-S24</f>
        <v>872643.070852508</v>
      </c>
      <c r="U24" s="42" t="n">
        <f aca="false">U23+T24</f>
        <v>9962237.22542865</v>
      </c>
      <c r="V24" s="44" t="n">
        <f aca="false">1/(1+Inputs!$B$10)^(A24/12)</f>
        <v>0.78303068154376</v>
      </c>
      <c r="W24" s="42" t="n">
        <f aca="false">T24*V24</f>
        <v>683306.298514079</v>
      </c>
      <c r="X24" s="42" t="n">
        <f aca="false">X23+W24</f>
        <v>7930311.71998022</v>
      </c>
      <c r="Y24" s="46" t="n">
        <f aca="false">IF(U24&gt;=0,A24,"")</f>
        <v>21</v>
      </c>
      <c r="Z24" s="46" t="n">
        <f aca="false">IF(X24&gt;=0,A24,"")</f>
        <v>21</v>
      </c>
    </row>
    <row r="25" customFormat="false" ht="15" hidden="false" customHeight="false" outlineLevel="0" collapsed="false">
      <c r="A25" s="39" t="n">
        <v>22</v>
      </c>
      <c r="B25" s="40" t="n">
        <f aca="false">EDATE(Inputs!$B$8,A25-1)</f>
        <v>46813</v>
      </c>
      <c r="C25" s="39" t="n">
        <f aca="false">ROUNDUP(A25/12,0)</f>
        <v>2</v>
      </c>
      <c r="D25" s="39" t="n">
        <f aca="false">MOD(A25-1,12)+1</f>
        <v>10</v>
      </c>
      <c r="E25" s="41" t="n">
        <f aca="false">IF(A25&lt;Inputs!$B$9,0,MIN(1,(A25-Inputs!$B$9+1)/Inputs!$F$32))</f>
        <v>1</v>
      </c>
      <c r="F25" s="42" t="n">
        <f aca="false">Inputs!$B$14*Inputs!$B$13*Inputs!$F$23</f>
        <v>245</v>
      </c>
      <c r="G25" s="42" t="n">
        <f aca="false">F25*Inputs!$B$12*E25</f>
        <v>1399930</v>
      </c>
      <c r="H25" s="42" t="n">
        <f aca="false">INDEX(Inputs!$F$26:$H$26,1,C25)</f>
        <v>5060972125.57525</v>
      </c>
      <c r="I25" s="43" t="n">
        <f aca="false">INDEX(Inputs!$F$27:$H$27,1,C25)</f>
        <v>0.05</v>
      </c>
      <c r="J25" s="42" t="n">
        <f aca="false">H25*Inputs!$B$18*I25/12*E25</f>
        <v>210873.838565635</v>
      </c>
      <c r="K25" s="42" t="n">
        <f aca="false">G25+J25</f>
        <v>1610803.83856564</v>
      </c>
      <c r="L25" s="42" t="n">
        <f aca="false">IF(A25=1,Inputs!$F$29,0)</f>
        <v>0</v>
      </c>
      <c r="M25" s="42" t="n">
        <f aca="false">IF(A25&gt;=Inputs!$B$9,INDEX(Inputs!$F$30:$H$30,1,C25),0)</f>
        <v>520000</v>
      </c>
      <c r="N25" s="42" t="n">
        <f aca="false">L25+M25</f>
        <v>520000</v>
      </c>
      <c r="O25" s="42" t="n">
        <f aca="false">K25-N25</f>
        <v>1090803.83856564</v>
      </c>
      <c r="P25" s="42" t="n">
        <f aca="false">R24</f>
        <v>0</v>
      </c>
      <c r="Q25" s="42" t="n">
        <f aca="false">MAX(O25-P25,0)</f>
        <v>1090803.83856564</v>
      </c>
      <c r="R25" s="42" t="n">
        <f aca="false">MAX(P25-O25,0)</f>
        <v>0</v>
      </c>
      <c r="S25" s="42" t="n">
        <f aca="false">Q25*Inputs!$B$11</f>
        <v>218160.767713127</v>
      </c>
      <c r="T25" s="42" t="n">
        <f aca="false">O25-S25</f>
        <v>872643.070852508</v>
      </c>
      <c r="U25" s="42" t="n">
        <f aca="false">U24+T25</f>
        <v>10834880.2962812</v>
      </c>
      <c r="V25" s="44" t="n">
        <f aca="false">1/(1+Inputs!$B$10)^(A25/12)</f>
        <v>0.773963760391793</v>
      </c>
      <c r="W25" s="42" t="n">
        <f aca="false">T25*V25</f>
        <v>675394.112596849</v>
      </c>
      <c r="X25" s="42" t="n">
        <f aca="false">X24+W25</f>
        <v>8605705.83257707</v>
      </c>
      <c r="Y25" s="46" t="n">
        <f aca="false">IF(U25&gt;=0,A25,"")</f>
        <v>22</v>
      </c>
      <c r="Z25" s="46" t="n">
        <f aca="false">IF(X25&gt;=0,A25,"")</f>
        <v>22</v>
      </c>
    </row>
    <row r="26" customFormat="false" ht="15" hidden="false" customHeight="false" outlineLevel="0" collapsed="false">
      <c r="A26" s="39" t="n">
        <v>23</v>
      </c>
      <c r="B26" s="40" t="n">
        <f aca="false">EDATE(Inputs!$B$8,A26-1)</f>
        <v>46844</v>
      </c>
      <c r="C26" s="39" t="n">
        <f aca="false">ROUNDUP(A26/12,0)</f>
        <v>2</v>
      </c>
      <c r="D26" s="39" t="n">
        <f aca="false">MOD(A26-1,12)+1</f>
        <v>11</v>
      </c>
      <c r="E26" s="41" t="n">
        <f aca="false">IF(A26&lt;Inputs!$B$9,0,MIN(1,(A26-Inputs!$B$9+1)/Inputs!$F$32))</f>
        <v>1</v>
      </c>
      <c r="F26" s="42" t="n">
        <f aca="false">Inputs!$B$14*Inputs!$B$13*Inputs!$F$23</f>
        <v>245</v>
      </c>
      <c r="G26" s="42" t="n">
        <f aca="false">F26*Inputs!$B$12*E26</f>
        <v>1399930</v>
      </c>
      <c r="H26" s="42" t="n">
        <f aca="false">INDEX(Inputs!$F$26:$H$26,1,C26)</f>
        <v>5060972125.57525</v>
      </c>
      <c r="I26" s="43" t="n">
        <f aca="false">INDEX(Inputs!$F$27:$H$27,1,C26)</f>
        <v>0.05</v>
      </c>
      <c r="J26" s="42" t="n">
        <f aca="false">H26*Inputs!$B$18*I26/12*E26</f>
        <v>210873.838565635</v>
      </c>
      <c r="K26" s="42" t="n">
        <f aca="false">G26+J26</f>
        <v>1610803.83856564</v>
      </c>
      <c r="L26" s="42" t="n">
        <f aca="false">IF(A26=1,Inputs!$F$29,0)</f>
        <v>0</v>
      </c>
      <c r="M26" s="42" t="n">
        <f aca="false">IF(A26&gt;=Inputs!$B$9,INDEX(Inputs!$F$30:$H$30,1,C26),0)</f>
        <v>520000</v>
      </c>
      <c r="N26" s="42" t="n">
        <f aca="false">L26+M26</f>
        <v>520000</v>
      </c>
      <c r="O26" s="42" t="n">
        <f aca="false">K26-N26</f>
        <v>1090803.83856564</v>
      </c>
      <c r="P26" s="42" t="n">
        <f aca="false">R25</f>
        <v>0</v>
      </c>
      <c r="Q26" s="42" t="n">
        <f aca="false">MAX(O26-P26,0)</f>
        <v>1090803.83856564</v>
      </c>
      <c r="R26" s="42" t="n">
        <f aca="false">MAX(P26-O26,0)</f>
        <v>0</v>
      </c>
      <c r="S26" s="42" t="n">
        <f aca="false">Q26*Inputs!$B$11</f>
        <v>218160.767713127</v>
      </c>
      <c r="T26" s="42" t="n">
        <f aca="false">O26-S26</f>
        <v>872643.070852508</v>
      </c>
      <c r="U26" s="42" t="n">
        <f aca="false">U25+T26</f>
        <v>11707523.3671337</v>
      </c>
      <c r="V26" s="44" t="n">
        <f aca="false">1/(1+Inputs!$B$10)^(A26/12)</f>
        <v>0.765001827538642</v>
      </c>
      <c r="W26" s="42" t="n">
        <f aca="false">T26*V26</f>
        <v>667573.543991101</v>
      </c>
      <c r="X26" s="42" t="n">
        <f aca="false">X25+W26</f>
        <v>9273279.37656817</v>
      </c>
      <c r="Y26" s="46" t="n">
        <f aca="false">IF(U26&gt;=0,A26,"")</f>
        <v>23</v>
      </c>
      <c r="Z26" s="46" t="n">
        <f aca="false">IF(X26&gt;=0,A26,"")</f>
        <v>23</v>
      </c>
    </row>
    <row r="27" customFormat="false" ht="15" hidden="false" customHeight="false" outlineLevel="0" collapsed="false">
      <c r="A27" s="39" t="n">
        <v>24</v>
      </c>
      <c r="B27" s="40" t="n">
        <f aca="false">EDATE(Inputs!$B$8,A27-1)</f>
        <v>46874</v>
      </c>
      <c r="C27" s="39" t="n">
        <f aca="false">ROUNDUP(A27/12,0)</f>
        <v>2</v>
      </c>
      <c r="D27" s="39" t="n">
        <f aca="false">MOD(A27-1,12)+1</f>
        <v>12</v>
      </c>
      <c r="E27" s="41" t="n">
        <f aca="false">IF(A27&lt;Inputs!$B$9,0,MIN(1,(A27-Inputs!$B$9+1)/Inputs!$F$32))</f>
        <v>1</v>
      </c>
      <c r="F27" s="42" t="n">
        <f aca="false">Inputs!$B$14*Inputs!$B$13*Inputs!$F$23</f>
        <v>245</v>
      </c>
      <c r="G27" s="42" t="n">
        <f aca="false">F27*Inputs!$B$12*E27</f>
        <v>1399930</v>
      </c>
      <c r="H27" s="42" t="n">
        <f aca="false">INDEX(Inputs!$F$26:$H$26,1,C27)</f>
        <v>5060972125.57525</v>
      </c>
      <c r="I27" s="43" t="n">
        <f aca="false">INDEX(Inputs!$F$27:$H$27,1,C27)</f>
        <v>0.05</v>
      </c>
      <c r="J27" s="42" t="n">
        <f aca="false">H27*Inputs!$B$18*I27/12*E27</f>
        <v>210873.838565635</v>
      </c>
      <c r="K27" s="42" t="n">
        <f aca="false">G27+J27</f>
        <v>1610803.83856564</v>
      </c>
      <c r="L27" s="42" t="n">
        <f aca="false">IF(A27=1,Inputs!$F$29,0)</f>
        <v>0</v>
      </c>
      <c r="M27" s="42" t="n">
        <f aca="false">IF(A27&gt;=Inputs!$B$9,INDEX(Inputs!$F$30:$H$30,1,C27),0)</f>
        <v>520000</v>
      </c>
      <c r="N27" s="42" t="n">
        <f aca="false">L27+M27</f>
        <v>520000</v>
      </c>
      <c r="O27" s="42" t="n">
        <f aca="false">K27-N27</f>
        <v>1090803.83856564</v>
      </c>
      <c r="P27" s="42" t="n">
        <f aca="false">R26</f>
        <v>0</v>
      </c>
      <c r="Q27" s="42" t="n">
        <f aca="false">MAX(O27-P27,0)</f>
        <v>1090803.83856564</v>
      </c>
      <c r="R27" s="42" t="n">
        <f aca="false">MAX(P27-O27,0)</f>
        <v>0</v>
      </c>
      <c r="S27" s="42" t="n">
        <f aca="false">Q27*Inputs!$B$11</f>
        <v>218160.767713127</v>
      </c>
      <c r="T27" s="42" t="n">
        <f aca="false">O27-S27</f>
        <v>872643.070852508</v>
      </c>
      <c r="U27" s="42" t="n">
        <f aca="false">U26+T27</f>
        <v>12580166.4379862</v>
      </c>
      <c r="V27" s="44" t="n">
        <f aca="false">1/(1+Inputs!$B$10)^(A27/12)</f>
        <v>0.756143667296787</v>
      </c>
      <c r="W27" s="42" t="n">
        <f aca="false">T27*V27</f>
        <v>659843.531835545</v>
      </c>
      <c r="X27" s="42" t="n">
        <f aca="false">X26+W27</f>
        <v>9933122.90840372</v>
      </c>
      <c r="Y27" s="46" t="n">
        <f aca="false">IF(U27&gt;=0,A27,"")</f>
        <v>24</v>
      </c>
      <c r="Z27" s="46" t="n">
        <f aca="false">IF(X27&gt;=0,A27,"")</f>
        <v>24</v>
      </c>
    </row>
    <row r="28" customFormat="false" ht="15" hidden="false" customHeight="false" outlineLevel="0" collapsed="false">
      <c r="A28" s="39" t="n">
        <v>25</v>
      </c>
      <c r="B28" s="40" t="n">
        <f aca="false">EDATE(Inputs!$B$8,A28-1)</f>
        <v>46905</v>
      </c>
      <c r="C28" s="39" t="n">
        <f aca="false">ROUNDUP(A28/12,0)</f>
        <v>3</v>
      </c>
      <c r="D28" s="39" t="n">
        <f aca="false">MOD(A28-1,12)+1</f>
        <v>1</v>
      </c>
      <c r="E28" s="41" t="n">
        <f aca="false">IF(A28&lt;Inputs!$B$9,0,MIN(1,(A28-Inputs!$B$9+1)/Inputs!$F$32))</f>
        <v>1</v>
      </c>
      <c r="F28" s="42" t="n">
        <f aca="false">Inputs!$B$14*Inputs!$B$13*Inputs!$F$23</f>
        <v>245</v>
      </c>
      <c r="G28" s="42" t="n">
        <f aca="false">F28*Inputs!$B$12*E28</f>
        <v>1399930</v>
      </c>
      <c r="H28" s="42" t="n">
        <f aca="false">INDEX(Inputs!$F$26:$H$26,1,C28)</f>
        <v>7338409582.08411</v>
      </c>
      <c r="I28" s="43" t="n">
        <f aca="false">INDEX(Inputs!$F$27:$H$27,1,C28)</f>
        <v>0.05</v>
      </c>
      <c r="J28" s="42" t="n">
        <f aca="false">H28*Inputs!$B$18*I28/12*E28</f>
        <v>305767.065920171</v>
      </c>
      <c r="K28" s="42" t="n">
        <f aca="false">G28+J28</f>
        <v>1705697.06592017</v>
      </c>
      <c r="L28" s="42" t="n">
        <f aca="false">IF(A28=1,Inputs!$F$29,0)</f>
        <v>0</v>
      </c>
      <c r="M28" s="42" t="n">
        <f aca="false">IF(A28&gt;=Inputs!$B$9,INDEX(Inputs!$F$30:$H$30,1,C28),0)</f>
        <v>550000</v>
      </c>
      <c r="N28" s="42" t="n">
        <f aca="false">L28+M28</f>
        <v>550000</v>
      </c>
      <c r="O28" s="42" t="n">
        <f aca="false">K28-N28</f>
        <v>1155697.06592017</v>
      </c>
      <c r="P28" s="42" t="n">
        <f aca="false">R27</f>
        <v>0</v>
      </c>
      <c r="Q28" s="42" t="n">
        <f aca="false">MAX(O28-P28,0)</f>
        <v>1155697.06592017</v>
      </c>
      <c r="R28" s="42" t="n">
        <f aca="false">MAX(P28-O28,0)</f>
        <v>0</v>
      </c>
      <c r="S28" s="42" t="n">
        <f aca="false">Q28*Inputs!$B$11</f>
        <v>231139.413184034</v>
      </c>
      <c r="T28" s="42" t="n">
        <f aca="false">O28-S28</f>
        <v>924557.652736137</v>
      </c>
      <c r="U28" s="42" t="n">
        <f aca="false">U27+T28</f>
        <v>13504724.0907223</v>
      </c>
      <c r="V28" s="44" t="n">
        <f aca="false">1/(1+Inputs!$B$10)^(A28/12)</f>
        <v>0.747388078055478</v>
      </c>
      <c r="W28" s="42" t="n">
        <f aca="false">T28*V28</f>
        <v>691003.367129945</v>
      </c>
      <c r="X28" s="42" t="n">
        <f aca="false">X27+W28</f>
        <v>10624126.2755337</v>
      </c>
      <c r="Y28" s="46" t="n">
        <f aca="false">IF(U28&gt;=0,A28,"")</f>
        <v>25</v>
      </c>
      <c r="Z28" s="46" t="n">
        <f aca="false">IF(X28&gt;=0,A28,"")</f>
        <v>25</v>
      </c>
    </row>
    <row r="29" customFormat="false" ht="15" hidden="false" customHeight="false" outlineLevel="0" collapsed="false">
      <c r="A29" s="39" t="n">
        <v>26</v>
      </c>
      <c r="B29" s="40" t="n">
        <f aca="false">EDATE(Inputs!$B$8,A29-1)</f>
        <v>46935</v>
      </c>
      <c r="C29" s="39" t="n">
        <f aca="false">ROUNDUP(A29/12,0)</f>
        <v>3</v>
      </c>
      <c r="D29" s="39" t="n">
        <f aca="false">MOD(A29-1,12)+1</f>
        <v>2</v>
      </c>
      <c r="E29" s="41" t="n">
        <f aca="false">IF(A29&lt;Inputs!$B$9,0,MIN(1,(A29-Inputs!$B$9+1)/Inputs!$F$32))</f>
        <v>1</v>
      </c>
      <c r="F29" s="42" t="n">
        <f aca="false">Inputs!$B$14*Inputs!$B$13*Inputs!$F$23</f>
        <v>245</v>
      </c>
      <c r="G29" s="42" t="n">
        <f aca="false">F29*Inputs!$B$12*E29</f>
        <v>1399930</v>
      </c>
      <c r="H29" s="42" t="n">
        <f aca="false">INDEX(Inputs!$F$26:$H$26,1,C29)</f>
        <v>7338409582.08411</v>
      </c>
      <c r="I29" s="43" t="n">
        <f aca="false">INDEX(Inputs!$F$27:$H$27,1,C29)</f>
        <v>0.05</v>
      </c>
      <c r="J29" s="42" t="n">
        <f aca="false">H29*Inputs!$B$18*I29/12*E29</f>
        <v>305767.065920171</v>
      </c>
      <c r="K29" s="42" t="n">
        <f aca="false">G29+J29</f>
        <v>1705697.06592017</v>
      </c>
      <c r="L29" s="42" t="n">
        <f aca="false">IF(A29=1,Inputs!$F$29,0)</f>
        <v>0</v>
      </c>
      <c r="M29" s="42" t="n">
        <f aca="false">IF(A29&gt;=Inputs!$B$9,INDEX(Inputs!$F$30:$H$30,1,C29),0)</f>
        <v>550000</v>
      </c>
      <c r="N29" s="42" t="n">
        <f aca="false">L29+M29</f>
        <v>550000</v>
      </c>
      <c r="O29" s="42" t="n">
        <f aca="false">K29-N29</f>
        <v>1155697.06592017</v>
      </c>
      <c r="P29" s="42" t="n">
        <f aca="false">R28</f>
        <v>0</v>
      </c>
      <c r="Q29" s="42" t="n">
        <f aca="false">MAX(O29-P29,0)</f>
        <v>1155697.06592017</v>
      </c>
      <c r="R29" s="42" t="n">
        <f aca="false">MAX(P29-O29,0)</f>
        <v>0</v>
      </c>
      <c r="S29" s="42" t="n">
        <f aca="false">Q29*Inputs!$B$11</f>
        <v>231139.413184034</v>
      </c>
      <c r="T29" s="42" t="n">
        <f aca="false">O29-S29</f>
        <v>924557.652736137</v>
      </c>
      <c r="U29" s="42" t="n">
        <f aca="false">U28+T29</f>
        <v>14429281.7434585</v>
      </c>
      <c r="V29" s="44" t="n">
        <f aca="false">1/(1+Inputs!$B$10)^(A29/12)</f>
        <v>0.738733872117737</v>
      </c>
      <c r="W29" s="42" t="n">
        <f aca="false">T29*V29</f>
        <v>683002.054801852</v>
      </c>
      <c r="X29" s="42" t="n">
        <f aca="false">X28+W29</f>
        <v>11307128.3303355</v>
      </c>
      <c r="Y29" s="46" t="n">
        <f aca="false">IF(U29&gt;=0,A29,"")</f>
        <v>26</v>
      </c>
      <c r="Z29" s="46" t="n">
        <f aca="false">IF(X29&gt;=0,A29,"")</f>
        <v>26</v>
      </c>
    </row>
    <row r="30" customFormat="false" ht="15" hidden="false" customHeight="false" outlineLevel="0" collapsed="false">
      <c r="A30" s="39" t="n">
        <v>27</v>
      </c>
      <c r="B30" s="40" t="n">
        <f aca="false">EDATE(Inputs!$B$8,A30-1)</f>
        <v>46966</v>
      </c>
      <c r="C30" s="39" t="n">
        <f aca="false">ROUNDUP(A30/12,0)</f>
        <v>3</v>
      </c>
      <c r="D30" s="39" t="n">
        <f aca="false">MOD(A30-1,12)+1</f>
        <v>3</v>
      </c>
      <c r="E30" s="41" t="n">
        <f aca="false">IF(A30&lt;Inputs!$B$9,0,MIN(1,(A30-Inputs!$B$9+1)/Inputs!$F$32))</f>
        <v>1</v>
      </c>
      <c r="F30" s="42" t="n">
        <f aca="false">Inputs!$B$14*Inputs!$B$13*Inputs!$F$23</f>
        <v>245</v>
      </c>
      <c r="G30" s="42" t="n">
        <f aca="false">F30*Inputs!$B$12*E30</f>
        <v>1399930</v>
      </c>
      <c r="H30" s="42" t="n">
        <f aca="false">INDEX(Inputs!$F$26:$H$26,1,C30)</f>
        <v>7338409582.08411</v>
      </c>
      <c r="I30" s="43" t="n">
        <f aca="false">INDEX(Inputs!$F$27:$H$27,1,C30)</f>
        <v>0.05</v>
      </c>
      <c r="J30" s="42" t="n">
        <f aca="false">H30*Inputs!$B$18*I30/12*E30</f>
        <v>305767.065920171</v>
      </c>
      <c r="K30" s="42" t="n">
        <f aca="false">G30+J30</f>
        <v>1705697.06592017</v>
      </c>
      <c r="L30" s="42" t="n">
        <f aca="false">IF(A30=1,Inputs!$F$29,0)</f>
        <v>0</v>
      </c>
      <c r="M30" s="42" t="n">
        <f aca="false">IF(A30&gt;=Inputs!$B$9,INDEX(Inputs!$F$30:$H$30,1,C30),0)</f>
        <v>550000</v>
      </c>
      <c r="N30" s="42" t="n">
        <f aca="false">L30+M30</f>
        <v>550000</v>
      </c>
      <c r="O30" s="42" t="n">
        <f aca="false">K30-N30</f>
        <v>1155697.06592017</v>
      </c>
      <c r="P30" s="42" t="n">
        <f aca="false">R29</f>
        <v>0</v>
      </c>
      <c r="Q30" s="42" t="n">
        <f aca="false">MAX(O30-P30,0)</f>
        <v>1155697.06592017</v>
      </c>
      <c r="R30" s="42" t="n">
        <f aca="false">MAX(P30-O30,0)</f>
        <v>0</v>
      </c>
      <c r="S30" s="42" t="n">
        <f aca="false">Q30*Inputs!$B$11</f>
        <v>231139.413184034</v>
      </c>
      <c r="T30" s="42" t="n">
        <f aca="false">O30-S30</f>
        <v>924557.652736137</v>
      </c>
      <c r="U30" s="42" t="n">
        <f aca="false">U29+T30</f>
        <v>15353839.3961946</v>
      </c>
      <c r="V30" s="44" t="n">
        <f aca="false">1/(1+Inputs!$B$10)^(A30/12)</f>
        <v>0.730179875539246</v>
      </c>
      <c r="W30" s="42" t="n">
        <f aca="false">T30*V30</f>
        <v>675093.39180373</v>
      </c>
      <c r="X30" s="42" t="n">
        <f aca="false">X29+W30</f>
        <v>11982221.7221392</v>
      </c>
      <c r="Y30" s="46" t="n">
        <f aca="false">IF(U30&gt;=0,A30,"")</f>
        <v>27</v>
      </c>
      <c r="Z30" s="46" t="n">
        <f aca="false">IF(X30&gt;=0,A30,"")</f>
        <v>27</v>
      </c>
    </row>
    <row r="31" customFormat="false" ht="15" hidden="false" customHeight="false" outlineLevel="0" collapsed="false">
      <c r="A31" s="39" t="n">
        <v>28</v>
      </c>
      <c r="B31" s="40" t="n">
        <f aca="false">EDATE(Inputs!$B$8,A31-1)</f>
        <v>46997</v>
      </c>
      <c r="C31" s="39" t="n">
        <f aca="false">ROUNDUP(A31/12,0)</f>
        <v>3</v>
      </c>
      <c r="D31" s="39" t="n">
        <f aca="false">MOD(A31-1,12)+1</f>
        <v>4</v>
      </c>
      <c r="E31" s="41" t="n">
        <f aca="false">IF(A31&lt;Inputs!$B$9,0,MIN(1,(A31-Inputs!$B$9+1)/Inputs!$F$32))</f>
        <v>1</v>
      </c>
      <c r="F31" s="42" t="n">
        <f aca="false">Inputs!$B$14*Inputs!$B$13*Inputs!$F$23</f>
        <v>245</v>
      </c>
      <c r="G31" s="42" t="n">
        <f aca="false">F31*Inputs!$B$12*E31</f>
        <v>1399930</v>
      </c>
      <c r="H31" s="42" t="n">
        <f aca="false">INDEX(Inputs!$F$26:$H$26,1,C31)</f>
        <v>7338409582.08411</v>
      </c>
      <c r="I31" s="43" t="n">
        <f aca="false">INDEX(Inputs!$F$27:$H$27,1,C31)</f>
        <v>0.05</v>
      </c>
      <c r="J31" s="42" t="n">
        <f aca="false">H31*Inputs!$B$18*I31/12*E31</f>
        <v>305767.065920171</v>
      </c>
      <c r="K31" s="42" t="n">
        <f aca="false">G31+J31</f>
        <v>1705697.06592017</v>
      </c>
      <c r="L31" s="42" t="n">
        <f aca="false">IF(A31=1,Inputs!$F$29,0)</f>
        <v>0</v>
      </c>
      <c r="M31" s="42" t="n">
        <f aca="false">IF(A31&gt;=Inputs!$B$9,INDEX(Inputs!$F$30:$H$30,1,C31),0)</f>
        <v>550000</v>
      </c>
      <c r="N31" s="42" t="n">
        <f aca="false">L31+M31</f>
        <v>550000</v>
      </c>
      <c r="O31" s="42" t="n">
        <f aca="false">K31-N31</f>
        <v>1155697.06592017</v>
      </c>
      <c r="P31" s="42" t="n">
        <f aca="false">R30</f>
        <v>0</v>
      </c>
      <c r="Q31" s="42" t="n">
        <f aca="false">MAX(O31-P31,0)</f>
        <v>1155697.06592017</v>
      </c>
      <c r="R31" s="42" t="n">
        <f aca="false">MAX(P31-O31,0)</f>
        <v>0</v>
      </c>
      <c r="S31" s="42" t="n">
        <f aca="false">Q31*Inputs!$B$11</f>
        <v>231139.413184034</v>
      </c>
      <c r="T31" s="42" t="n">
        <f aca="false">O31-S31</f>
        <v>924557.652736137</v>
      </c>
      <c r="U31" s="42" t="n">
        <f aca="false">U30+T31</f>
        <v>16278397.0489307</v>
      </c>
      <c r="V31" s="44" t="n">
        <f aca="false">1/(1+Inputs!$B$10)^(A31/12)</f>
        <v>0.721724927969101</v>
      </c>
      <c r="W31" s="42" t="n">
        <f aca="false">T31*V31</f>
        <v>667276.305324269</v>
      </c>
      <c r="X31" s="42" t="n">
        <f aca="false">X30+W31</f>
        <v>12649498.0274635</v>
      </c>
      <c r="Y31" s="46" t="n">
        <f aca="false">IF(U31&gt;=0,A31,"")</f>
        <v>28</v>
      </c>
      <c r="Z31" s="46" t="n">
        <f aca="false">IF(X31&gt;=0,A31,"")</f>
        <v>28</v>
      </c>
    </row>
    <row r="32" customFormat="false" ht="15" hidden="false" customHeight="false" outlineLevel="0" collapsed="false">
      <c r="A32" s="39" t="n">
        <v>29</v>
      </c>
      <c r="B32" s="40" t="n">
        <f aca="false">EDATE(Inputs!$B$8,A32-1)</f>
        <v>47027</v>
      </c>
      <c r="C32" s="39" t="n">
        <f aca="false">ROUNDUP(A32/12,0)</f>
        <v>3</v>
      </c>
      <c r="D32" s="39" t="n">
        <f aca="false">MOD(A32-1,12)+1</f>
        <v>5</v>
      </c>
      <c r="E32" s="41" t="n">
        <f aca="false">IF(A32&lt;Inputs!$B$9,0,MIN(1,(A32-Inputs!$B$9+1)/Inputs!$F$32))</f>
        <v>1</v>
      </c>
      <c r="F32" s="42" t="n">
        <f aca="false">Inputs!$B$14*Inputs!$B$13*Inputs!$F$23</f>
        <v>245</v>
      </c>
      <c r="G32" s="42" t="n">
        <f aca="false">F32*Inputs!$B$12*E32</f>
        <v>1399930</v>
      </c>
      <c r="H32" s="42" t="n">
        <f aca="false">INDEX(Inputs!$F$26:$H$26,1,C32)</f>
        <v>7338409582.08411</v>
      </c>
      <c r="I32" s="43" t="n">
        <f aca="false">INDEX(Inputs!$F$27:$H$27,1,C32)</f>
        <v>0.05</v>
      </c>
      <c r="J32" s="42" t="n">
        <f aca="false">H32*Inputs!$B$18*I32/12*E32</f>
        <v>305767.065920171</v>
      </c>
      <c r="K32" s="42" t="n">
        <f aca="false">G32+J32</f>
        <v>1705697.06592017</v>
      </c>
      <c r="L32" s="42" t="n">
        <f aca="false">IF(A32=1,Inputs!$F$29,0)</f>
        <v>0</v>
      </c>
      <c r="M32" s="42" t="n">
        <f aca="false">IF(A32&gt;=Inputs!$B$9,INDEX(Inputs!$F$30:$H$30,1,C32),0)</f>
        <v>550000</v>
      </c>
      <c r="N32" s="42" t="n">
        <f aca="false">L32+M32</f>
        <v>550000</v>
      </c>
      <c r="O32" s="42" t="n">
        <f aca="false">K32-N32</f>
        <v>1155697.06592017</v>
      </c>
      <c r="P32" s="42" t="n">
        <f aca="false">R31</f>
        <v>0</v>
      </c>
      <c r="Q32" s="42" t="n">
        <f aca="false">MAX(O32-P32,0)</f>
        <v>1155697.06592017</v>
      </c>
      <c r="R32" s="42" t="n">
        <f aca="false">MAX(P32-O32,0)</f>
        <v>0</v>
      </c>
      <c r="S32" s="42" t="n">
        <f aca="false">Q32*Inputs!$B$11</f>
        <v>231139.413184034</v>
      </c>
      <c r="T32" s="42" t="n">
        <f aca="false">O32-S32</f>
        <v>924557.652736137</v>
      </c>
      <c r="U32" s="42" t="n">
        <f aca="false">U31+T32</f>
        <v>17202954.7016669</v>
      </c>
      <c r="V32" s="44" t="n">
        <f aca="false">1/(1+Inputs!$B$10)^(A32/12)</f>
        <v>0.713367882492411</v>
      </c>
      <c r="W32" s="42" t="n">
        <f aca="false">T32*V32</f>
        <v>659549.734974532</v>
      </c>
      <c r="X32" s="42" t="n">
        <f aca="false">X31+W32</f>
        <v>13309047.762438</v>
      </c>
      <c r="Y32" s="46" t="n">
        <f aca="false">IF(U32&gt;=0,A32,"")</f>
        <v>29</v>
      </c>
      <c r="Z32" s="46" t="n">
        <f aca="false">IF(X32&gt;=0,A32,"")</f>
        <v>29</v>
      </c>
    </row>
    <row r="33" customFormat="false" ht="15" hidden="false" customHeight="false" outlineLevel="0" collapsed="false">
      <c r="A33" s="39" t="n">
        <v>30</v>
      </c>
      <c r="B33" s="40" t="n">
        <f aca="false">EDATE(Inputs!$B$8,A33-1)</f>
        <v>47058</v>
      </c>
      <c r="C33" s="39" t="n">
        <f aca="false">ROUNDUP(A33/12,0)</f>
        <v>3</v>
      </c>
      <c r="D33" s="39" t="n">
        <f aca="false">MOD(A33-1,12)+1</f>
        <v>6</v>
      </c>
      <c r="E33" s="41" t="n">
        <f aca="false">IF(A33&lt;Inputs!$B$9,0,MIN(1,(A33-Inputs!$B$9+1)/Inputs!$F$32))</f>
        <v>1</v>
      </c>
      <c r="F33" s="42" t="n">
        <f aca="false">Inputs!$B$14*Inputs!$B$13*Inputs!$F$23</f>
        <v>245</v>
      </c>
      <c r="G33" s="42" t="n">
        <f aca="false">F33*Inputs!$B$12*E33</f>
        <v>1399930</v>
      </c>
      <c r="H33" s="42" t="n">
        <f aca="false">INDEX(Inputs!$F$26:$H$26,1,C33)</f>
        <v>7338409582.08411</v>
      </c>
      <c r="I33" s="43" t="n">
        <f aca="false">INDEX(Inputs!$F$27:$H$27,1,C33)</f>
        <v>0.05</v>
      </c>
      <c r="J33" s="42" t="n">
        <f aca="false">H33*Inputs!$B$18*I33/12*E33</f>
        <v>305767.065920171</v>
      </c>
      <c r="K33" s="42" t="n">
        <f aca="false">G33+J33</f>
        <v>1705697.06592017</v>
      </c>
      <c r="L33" s="42" t="n">
        <f aca="false">IF(A33=1,Inputs!$F$29,0)</f>
        <v>0</v>
      </c>
      <c r="M33" s="42" t="n">
        <f aca="false">IF(A33&gt;=Inputs!$B$9,INDEX(Inputs!$F$30:$H$30,1,C33),0)</f>
        <v>550000</v>
      </c>
      <c r="N33" s="42" t="n">
        <f aca="false">L33+M33</f>
        <v>550000</v>
      </c>
      <c r="O33" s="42" t="n">
        <f aca="false">K33-N33</f>
        <v>1155697.06592017</v>
      </c>
      <c r="P33" s="42" t="n">
        <f aca="false">R32</f>
        <v>0</v>
      </c>
      <c r="Q33" s="42" t="n">
        <f aca="false">MAX(O33-P33,0)</f>
        <v>1155697.06592017</v>
      </c>
      <c r="R33" s="42" t="n">
        <f aca="false">MAX(P33-O33,0)</f>
        <v>0</v>
      </c>
      <c r="S33" s="42" t="n">
        <f aca="false">Q33*Inputs!$B$11</f>
        <v>231139.413184034</v>
      </c>
      <c r="T33" s="42" t="n">
        <f aca="false">O33-S33</f>
        <v>924557.652736137</v>
      </c>
      <c r="U33" s="42" t="n">
        <f aca="false">U32+T33</f>
        <v>18127512.354403</v>
      </c>
      <c r="V33" s="44" t="n">
        <f aca="false">1/(1+Inputs!$B$10)^(A33/12)</f>
        <v>0.705107605474718</v>
      </c>
      <c r="W33" s="42" t="n">
        <f aca="false">T33*V33</f>
        <v>651912.632644103</v>
      </c>
      <c r="X33" s="42" t="n">
        <f aca="false">X32+W33</f>
        <v>13960960.3950821</v>
      </c>
      <c r="Y33" s="46" t="n">
        <f aca="false">IF(U33&gt;=0,A33,"")</f>
        <v>30</v>
      </c>
      <c r="Z33" s="46" t="n">
        <f aca="false">IF(X33&gt;=0,A33,"")</f>
        <v>30</v>
      </c>
    </row>
    <row r="34" customFormat="false" ht="15" hidden="false" customHeight="false" outlineLevel="0" collapsed="false">
      <c r="A34" s="39" t="n">
        <v>31</v>
      </c>
      <c r="B34" s="40" t="n">
        <f aca="false">EDATE(Inputs!$B$8,A34-1)</f>
        <v>47088</v>
      </c>
      <c r="C34" s="39" t="n">
        <f aca="false">ROUNDUP(A34/12,0)</f>
        <v>3</v>
      </c>
      <c r="D34" s="39" t="n">
        <f aca="false">MOD(A34-1,12)+1</f>
        <v>7</v>
      </c>
      <c r="E34" s="41" t="n">
        <f aca="false">IF(A34&lt;Inputs!$B$9,0,MIN(1,(A34-Inputs!$B$9+1)/Inputs!$F$32))</f>
        <v>1</v>
      </c>
      <c r="F34" s="42" t="n">
        <f aca="false">Inputs!$B$14*Inputs!$B$13*Inputs!$F$23</f>
        <v>245</v>
      </c>
      <c r="G34" s="42" t="n">
        <f aca="false">F34*Inputs!$B$12*E34</f>
        <v>1399930</v>
      </c>
      <c r="H34" s="42" t="n">
        <f aca="false">INDEX(Inputs!$F$26:$H$26,1,C34)</f>
        <v>7338409582.08411</v>
      </c>
      <c r="I34" s="43" t="n">
        <f aca="false">INDEX(Inputs!$F$27:$H$27,1,C34)</f>
        <v>0.05</v>
      </c>
      <c r="J34" s="42" t="n">
        <f aca="false">H34*Inputs!$B$18*I34/12*E34</f>
        <v>305767.065920171</v>
      </c>
      <c r="K34" s="42" t="n">
        <f aca="false">G34+J34</f>
        <v>1705697.06592017</v>
      </c>
      <c r="L34" s="42" t="n">
        <f aca="false">IF(A34=1,Inputs!$F$29,0)</f>
        <v>0</v>
      </c>
      <c r="M34" s="42" t="n">
        <f aca="false">IF(A34&gt;=Inputs!$B$9,INDEX(Inputs!$F$30:$H$30,1,C34),0)</f>
        <v>550000</v>
      </c>
      <c r="N34" s="42" t="n">
        <f aca="false">L34+M34</f>
        <v>550000</v>
      </c>
      <c r="O34" s="42" t="n">
        <f aca="false">K34-N34</f>
        <v>1155697.06592017</v>
      </c>
      <c r="P34" s="42" t="n">
        <f aca="false">R33</f>
        <v>0</v>
      </c>
      <c r="Q34" s="42" t="n">
        <f aca="false">MAX(O34-P34,0)</f>
        <v>1155697.06592017</v>
      </c>
      <c r="R34" s="42" t="n">
        <f aca="false">MAX(P34-O34,0)</f>
        <v>0</v>
      </c>
      <c r="S34" s="42" t="n">
        <f aca="false">Q34*Inputs!$B$11</f>
        <v>231139.413184034</v>
      </c>
      <c r="T34" s="42" t="n">
        <f aca="false">O34-S34</f>
        <v>924557.652736137</v>
      </c>
      <c r="U34" s="42" t="n">
        <f aca="false">U33+T34</f>
        <v>19052070.0071391</v>
      </c>
      <c r="V34" s="44" t="n">
        <f aca="false">1/(1+Inputs!$B$10)^(A34/12)</f>
        <v>0.69694297640822</v>
      </c>
      <c r="W34" s="42" t="n">
        <f aca="false">T34*V34</f>
        <v>644363.962358921</v>
      </c>
      <c r="X34" s="42" t="n">
        <f aca="false">X33+W34</f>
        <v>14605324.3574411</v>
      </c>
      <c r="Y34" s="46" t="n">
        <f aca="false">IF(U34&gt;=0,A34,"")</f>
        <v>31</v>
      </c>
      <c r="Z34" s="46" t="n">
        <f aca="false">IF(X34&gt;=0,A34,"")</f>
        <v>31</v>
      </c>
    </row>
    <row r="35" customFormat="false" ht="15" hidden="false" customHeight="false" outlineLevel="0" collapsed="false">
      <c r="A35" s="39" t="n">
        <v>32</v>
      </c>
      <c r="B35" s="40" t="n">
        <f aca="false">EDATE(Inputs!$B$8,A35-1)</f>
        <v>47119</v>
      </c>
      <c r="C35" s="39" t="n">
        <f aca="false">ROUNDUP(A35/12,0)</f>
        <v>3</v>
      </c>
      <c r="D35" s="39" t="n">
        <f aca="false">MOD(A35-1,12)+1</f>
        <v>8</v>
      </c>
      <c r="E35" s="41" t="n">
        <f aca="false">IF(A35&lt;Inputs!$B$9,0,MIN(1,(A35-Inputs!$B$9+1)/Inputs!$F$32))</f>
        <v>1</v>
      </c>
      <c r="F35" s="42" t="n">
        <f aca="false">Inputs!$B$14*Inputs!$B$13*Inputs!$F$23</f>
        <v>245</v>
      </c>
      <c r="G35" s="42" t="n">
        <f aca="false">F35*Inputs!$B$12*E35</f>
        <v>1399930</v>
      </c>
      <c r="H35" s="42" t="n">
        <f aca="false">INDEX(Inputs!$F$26:$H$26,1,C35)</f>
        <v>7338409582.08411</v>
      </c>
      <c r="I35" s="43" t="n">
        <f aca="false">INDEX(Inputs!$F$27:$H$27,1,C35)</f>
        <v>0.05</v>
      </c>
      <c r="J35" s="42" t="n">
        <f aca="false">H35*Inputs!$B$18*I35/12*E35</f>
        <v>305767.065920171</v>
      </c>
      <c r="K35" s="42" t="n">
        <f aca="false">G35+J35</f>
        <v>1705697.06592017</v>
      </c>
      <c r="L35" s="42" t="n">
        <f aca="false">IF(A35=1,Inputs!$F$29,0)</f>
        <v>0</v>
      </c>
      <c r="M35" s="42" t="n">
        <f aca="false">IF(A35&gt;=Inputs!$B$9,INDEX(Inputs!$F$30:$H$30,1,C35),0)</f>
        <v>550000</v>
      </c>
      <c r="N35" s="42" t="n">
        <f aca="false">L35+M35</f>
        <v>550000</v>
      </c>
      <c r="O35" s="42" t="n">
        <f aca="false">K35-N35</f>
        <v>1155697.06592017</v>
      </c>
      <c r="P35" s="42" t="n">
        <f aca="false">R34</f>
        <v>0</v>
      </c>
      <c r="Q35" s="42" t="n">
        <f aca="false">MAX(O35-P35,0)</f>
        <v>1155697.06592017</v>
      </c>
      <c r="R35" s="42" t="n">
        <f aca="false">MAX(P35-O35,0)</f>
        <v>0</v>
      </c>
      <c r="S35" s="42" t="n">
        <f aca="false">Q35*Inputs!$B$11</f>
        <v>231139.413184034</v>
      </c>
      <c r="T35" s="42" t="n">
        <f aca="false">O35-S35</f>
        <v>924557.652736137</v>
      </c>
      <c r="U35" s="42" t="n">
        <f aca="false">U34+T35</f>
        <v>19976627.6598753</v>
      </c>
      <c r="V35" s="44" t="n">
        <f aca="false">1/(1+Inputs!$B$10)^(A35/12)</f>
        <v>0.688872887759775</v>
      </c>
      <c r="W35" s="42" t="n">
        <f aca="false">T35*V35</f>
        <v>636902.700140742</v>
      </c>
      <c r="X35" s="42" t="n">
        <f aca="false">X34+W35</f>
        <v>15242227.0575818</v>
      </c>
      <c r="Y35" s="46" t="n">
        <f aca="false">IF(U35&gt;=0,A35,"")</f>
        <v>32</v>
      </c>
      <c r="Z35" s="46" t="n">
        <f aca="false">IF(X35&gt;=0,A35,"")</f>
        <v>32</v>
      </c>
    </row>
    <row r="36" customFormat="false" ht="15" hidden="false" customHeight="false" outlineLevel="0" collapsed="false">
      <c r="A36" s="39" t="n">
        <v>33</v>
      </c>
      <c r="B36" s="40" t="n">
        <f aca="false">EDATE(Inputs!$B$8,A36-1)</f>
        <v>47150</v>
      </c>
      <c r="C36" s="39" t="n">
        <f aca="false">ROUNDUP(A36/12,0)</f>
        <v>3</v>
      </c>
      <c r="D36" s="39" t="n">
        <f aca="false">MOD(A36-1,12)+1</f>
        <v>9</v>
      </c>
      <c r="E36" s="41" t="n">
        <f aca="false">IF(A36&lt;Inputs!$B$9,0,MIN(1,(A36-Inputs!$B$9+1)/Inputs!$F$32))</f>
        <v>1</v>
      </c>
      <c r="F36" s="42" t="n">
        <f aca="false">Inputs!$B$14*Inputs!$B$13*Inputs!$F$23</f>
        <v>245</v>
      </c>
      <c r="G36" s="42" t="n">
        <f aca="false">F36*Inputs!$B$12*E36</f>
        <v>1399930</v>
      </c>
      <c r="H36" s="42" t="n">
        <f aca="false">INDEX(Inputs!$F$26:$H$26,1,C36)</f>
        <v>7338409582.08411</v>
      </c>
      <c r="I36" s="43" t="n">
        <f aca="false">INDEX(Inputs!$F$27:$H$27,1,C36)</f>
        <v>0.05</v>
      </c>
      <c r="J36" s="42" t="n">
        <f aca="false">H36*Inputs!$B$18*I36/12*E36</f>
        <v>305767.065920171</v>
      </c>
      <c r="K36" s="42" t="n">
        <f aca="false">G36+J36</f>
        <v>1705697.06592017</v>
      </c>
      <c r="L36" s="42" t="n">
        <f aca="false">IF(A36=1,Inputs!$F$29,0)</f>
        <v>0</v>
      </c>
      <c r="M36" s="42" t="n">
        <f aca="false">IF(A36&gt;=Inputs!$B$9,INDEX(Inputs!$F$30:$H$30,1,C36),0)</f>
        <v>550000</v>
      </c>
      <c r="N36" s="42" t="n">
        <f aca="false">L36+M36</f>
        <v>550000</v>
      </c>
      <c r="O36" s="42" t="n">
        <f aca="false">K36-N36</f>
        <v>1155697.06592017</v>
      </c>
      <c r="P36" s="42" t="n">
        <f aca="false">R35</f>
        <v>0</v>
      </c>
      <c r="Q36" s="42" t="n">
        <f aca="false">MAX(O36-P36,0)</f>
        <v>1155697.06592017</v>
      </c>
      <c r="R36" s="42" t="n">
        <f aca="false">MAX(P36-O36,0)</f>
        <v>0</v>
      </c>
      <c r="S36" s="42" t="n">
        <f aca="false">Q36*Inputs!$B$11</f>
        <v>231139.413184034</v>
      </c>
      <c r="T36" s="42" t="n">
        <f aca="false">O36-S36</f>
        <v>924557.652736137</v>
      </c>
      <c r="U36" s="42" t="n">
        <f aca="false">U35+T36</f>
        <v>20901185.3126114</v>
      </c>
      <c r="V36" s="44" t="n">
        <f aca="false">1/(1+Inputs!$B$10)^(A36/12)</f>
        <v>0.680896244820661</v>
      </c>
      <c r="W36" s="42" t="n">
        <f aca="false">T36*V36</f>
        <v>629527.83386824</v>
      </c>
      <c r="X36" s="42" t="n">
        <f aca="false">X35+W36</f>
        <v>15871754.8914501</v>
      </c>
      <c r="Y36" s="46" t="n">
        <f aca="false">IF(U36&gt;=0,A36,"")</f>
        <v>33</v>
      </c>
      <c r="Z36" s="46" t="n">
        <f aca="false">IF(X36&gt;=0,A36,"")</f>
        <v>33</v>
      </c>
    </row>
    <row r="37" customFormat="false" ht="15" hidden="false" customHeight="false" outlineLevel="0" collapsed="false">
      <c r="A37" s="39" t="n">
        <v>34</v>
      </c>
      <c r="B37" s="40" t="n">
        <f aca="false">EDATE(Inputs!$B$8,A37-1)</f>
        <v>47178</v>
      </c>
      <c r="C37" s="39" t="n">
        <f aca="false">ROUNDUP(A37/12,0)</f>
        <v>3</v>
      </c>
      <c r="D37" s="39" t="n">
        <f aca="false">MOD(A37-1,12)+1</f>
        <v>10</v>
      </c>
      <c r="E37" s="41" t="n">
        <f aca="false">IF(A37&lt;Inputs!$B$9,0,MIN(1,(A37-Inputs!$B$9+1)/Inputs!$F$32))</f>
        <v>1</v>
      </c>
      <c r="F37" s="42" t="n">
        <f aca="false">Inputs!$B$14*Inputs!$B$13*Inputs!$F$23</f>
        <v>245</v>
      </c>
      <c r="G37" s="42" t="n">
        <f aca="false">F37*Inputs!$B$12*E37</f>
        <v>1399930</v>
      </c>
      <c r="H37" s="42" t="n">
        <f aca="false">INDEX(Inputs!$F$26:$H$26,1,C37)</f>
        <v>7338409582.08411</v>
      </c>
      <c r="I37" s="43" t="n">
        <f aca="false">INDEX(Inputs!$F$27:$H$27,1,C37)</f>
        <v>0.05</v>
      </c>
      <c r="J37" s="42" t="n">
        <f aca="false">H37*Inputs!$B$18*I37/12*E37</f>
        <v>305767.065920171</v>
      </c>
      <c r="K37" s="42" t="n">
        <f aca="false">G37+J37</f>
        <v>1705697.06592017</v>
      </c>
      <c r="L37" s="42" t="n">
        <f aca="false">IF(A37=1,Inputs!$F$29,0)</f>
        <v>0</v>
      </c>
      <c r="M37" s="42" t="n">
        <f aca="false">IF(A37&gt;=Inputs!$B$9,INDEX(Inputs!$F$30:$H$30,1,C37),0)</f>
        <v>550000</v>
      </c>
      <c r="N37" s="42" t="n">
        <f aca="false">L37+M37</f>
        <v>550000</v>
      </c>
      <c r="O37" s="42" t="n">
        <f aca="false">K37-N37</f>
        <v>1155697.06592017</v>
      </c>
      <c r="P37" s="42" t="n">
        <f aca="false">R36</f>
        <v>0</v>
      </c>
      <c r="Q37" s="42" t="n">
        <f aca="false">MAX(O37-P37,0)</f>
        <v>1155697.06592017</v>
      </c>
      <c r="R37" s="42" t="n">
        <f aca="false">MAX(P37-O37,0)</f>
        <v>0</v>
      </c>
      <c r="S37" s="42" t="n">
        <f aca="false">Q37*Inputs!$B$11</f>
        <v>231139.413184034</v>
      </c>
      <c r="T37" s="42" t="n">
        <f aca="false">O37-S37</f>
        <v>924557.652736137</v>
      </c>
      <c r="U37" s="42" t="n">
        <f aca="false">U36+T37</f>
        <v>21825742.9653476</v>
      </c>
      <c r="V37" s="44" t="n">
        <f aca="false">1/(1+Inputs!$B$10)^(A37/12)</f>
        <v>0.673011965558081</v>
      </c>
      <c r="W37" s="42" t="n">
        <f aca="false">T37*V37</f>
        <v>622238.363139713</v>
      </c>
      <c r="X37" s="42" t="n">
        <f aca="false">X36+W37</f>
        <v>16493993.2545898</v>
      </c>
      <c r="Y37" s="46" t="n">
        <f aca="false">IF(U37&gt;=0,A37,"")</f>
        <v>34</v>
      </c>
      <c r="Z37" s="46" t="n">
        <f aca="false">IF(X37&gt;=0,A37,"")</f>
        <v>34</v>
      </c>
    </row>
    <row r="38" customFormat="false" ht="15" hidden="false" customHeight="false" outlineLevel="0" collapsed="false">
      <c r="A38" s="39" t="n">
        <v>35</v>
      </c>
      <c r="B38" s="40" t="n">
        <f aca="false">EDATE(Inputs!$B$8,A38-1)</f>
        <v>47209</v>
      </c>
      <c r="C38" s="39" t="n">
        <f aca="false">ROUNDUP(A38/12,0)</f>
        <v>3</v>
      </c>
      <c r="D38" s="39" t="n">
        <f aca="false">MOD(A38-1,12)+1</f>
        <v>11</v>
      </c>
      <c r="E38" s="41" t="n">
        <f aca="false">IF(A38&lt;Inputs!$B$9,0,MIN(1,(A38-Inputs!$B$9+1)/Inputs!$F$32))</f>
        <v>1</v>
      </c>
      <c r="F38" s="42" t="n">
        <f aca="false">Inputs!$B$14*Inputs!$B$13*Inputs!$F$23</f>
        <v>245</v>
      </c>
      <c r="G38" s="42" t="n">
        <f aca="false">F38*Inputs!$B$12*E38</f>
        <v>1399930</v>
      </c>
      <c r="H38" s="42" t="n">
        <f aca="false">INDEX(Inputs!$F$26:$H$26,1,C38)</f>
        <v>7338409582.08411</v>
      </c>
      <c r="I38" s="43" t="n">
        <f aca="false">INDEX(Inputs!$F$27:$H$27,1,C38)</f>
        <v>0.05</v>
      </c>
      <c r="J38" s="42" t="n">
        <f aca="false">H38*Inputs!$B$18*I38/12*E38</f>
        <v>305767.065920171</v>
      </c>
      <c r="K38" s="42" t="n">
        <f aca="false">G38+J38</f>
        <v>1705697.06592017</v>
      </c>
      <c r="L38" s="42" t="n">
        <f aca="false">IF(A38=1,Inputs!$F$29,0)</f>
        <v>0</v>
      </c>
      <c r="M38" s="42" t="n">
        <f aca="false">IF(A38&gt;=Inputs!$B$9,INDEX(Inputs!$F$30:$H$30,1,C38),0)</f>
        <v>550000</v>
      </c>
      <c r="N38" s="42" t="n">
        <f aca="false">L38+M38</f>
        <v>550000</v>
      </c>
      <c r="O38" s="42" t="n">
        <f aca="false">K38-N38</f>
        <v>1155697.06592017</v>
      </c>
      <c r="P38" s="42" t="n">
        <f aca="false">R37</f>
        <v>0</v>
      </c>
      <c r="Q38" s="42" t="n">
        <f aca="false">MAX(O38-P38,0)</f>
        <v>1155697.06592017</v>
      </c>
      <c r="R38" s="42" t="n">
        <f aca="false">MAX(P38-O38,0)</f>
        <v>0</v>
      </c>
      <c r="S38" s="42" t="n">
        <f aca="false">Q38*Inputs!$B$11</f>
        <v>231139.413184034</v>
      </c>
      <c r="T38" s="42" t="n">
        <f aca="false">O38-S38</f>
        <v>924557.652736137</v>
      </c>
      <c r="U38" s="42" t="n">
        <f aca="false">U37+T38</f>
        <v>22750300.6180837</v>
      </c>
      <c r="V38" s="44" t="n">
        <f aca="false">1/(1+Inputs!$B$10)^(A38/12)</f>
        <v>0.665218980468384</v>
      </c>
      <c r="W38" s="42" t="n">
        <f aca="false">T38*V38</f>
        <v>615033.299137375</v>
      </c>
      <c r="X38" s="42" t="n">
        <f aca="false">X37+W38</f>
        <v>17109026.5537271</v>
      </c>
      <c r="Y38" s="46" t="n">
        <f aca="false">IF(U38&gt;=0,A38,"")</f>
        <v>35</v>
      </c>
      <c r="Z38" s="46" t="n">
        <f aca="false">IF(X38&gt;=0,A38,"")</f>
        <v>35</v>
      </c>
    </row>
    <row r="39" customFormat="false" ht="15" hidden="false" customHeight="false" outlineLevel="0" collapsed="false">
      <c r="A39" s="39" t="n">
        <v>36</v>
      </c>
      <c r="B39" s="40" t="n">
        <f aca="false">EDATE(Inputs!$B$8,A39-1)</f>
        <v>47239</v>
      </c>
      <c r="C39" s="39" t="n">
        <f aca="false">ROUNDUP(A39/12,0)</f>
        <v>3</v>
      </c>
      <c r="D39" s="39" t="n">
        <f aca="false">MOD(A39-1,12)+1</f>
        <v>12</v>
      </c>
      <c r="E39" s="41" t="n">
        <f aca="false">IF(A39&lt;Inputs!$B$9,0,MIN(1,(A39-Inputs!$B$9+1)/Inputs!$F$32))</f>
        <v>1</v>
      </c>
      <c r="F39" s="42" t="n">
        <f aca="false">Inputs!$B$14*Inputs!$B$13*Inputs!$F$23</f>
        <v>245</v>
      </c>
      <c r="G39" s="42" t="n">
        <f aca="false">F39*Inputs!$B$12*E39</f>
        <v>1399930</v>
      </c>
      <c r="H39" s="42" t="n">
        <f aca="false">INDEX(Inputs!$F$26:$H$26,1,C39)</f>
        <v>7338409582.08411</v>
      </c>
      <c r="I39" s="43" t="n">
        <f aca="false">INDEX(Inputs!$F$27:$H$27,1,C39)</f>
        <v>0.05</v>
      </c>
      <c r="J39" s="42" t="n">
        <f aca="false">H39*Inputs!$B$18*I39/12*E39</f>
        <v>305767.065920171</v>
      </c>
      <c r="K39" s="42" t="n">
        <f aca="false">G39+J39</f>
        <v>1705697.06592017</v>
      </c>
      <c r="L39" s="42" t="n">
        <f aca="false">IF(A39=1,Inputs!$F$29,0)</f>
        <v>0</v>
      </c>
      <c r="M39" s="42" t="n">
        <f aca="false">IF(A39&gt;=Inputs!$B$9,INDEX(Inputs!$F$30:$H$30,1,C39),0)</f>
        <v>550000</v>
      </c>
      <c r="N39" s="42" t="n">
        <f aca="false">L39+M39</f>
        <v>550000</v>
      </c>
      <c r="O39" s="42" t="n">
        <f aca="false">K39-N39</f>
        <v>1155697.06592017</v>
      </c>
      <c r="P39" s="42" t="n">
        <f aca="false">R38</f>
        <v>0</v>
      </c>
      <c r="Q39" s="42" t="n">
        <f aca="false">MAX(O39-P39,0)</f>
        <v>1155697.06592017</v>
      </c>
      <c r="R39" s="42" t="n">
        <f aca="false">MAX(P39-O39,0)</f>
        <v>0</v>
      </c>
      <c r="S39" s="42" t="n">
        <f aca="false">Q39*Inputs!$B$11</f>
        <v>231139.413184034</v>
      </c>
      <c r="T39" s="42" t="n">
        <f aca="false">O39-S39</f>
        <v>924557.652736137</v>
      </c>
      <c r="U39" s="42" t="n">
        <f aca="false">U38+T39</f>
        <v>23674858.2708198</v>
      </c>
      <c r="V39" s="44" t="n">
        <f aca="false">1/(1+Inputs!$B$10)^(A39/12)</f>
        <v>0.657516232431988</v>
      </c>
      <c r="W39" s="42" t="n">
        <f aca="false">T39*V39</f>
        <v>607911.664493227</v>
      </c>
      <c r="X39" s="42" t="n">
        <f aca="false">X38+W39</f>
        <v>17716938.2182204</v>
      </c>
      <c r="Y39" s="46" t="n">
        <f aca="false">IF(U39&gt;=0,A39,"")</f>
        <v>36</v>
      </c>
      <c r="Z39" s="46" t="n">
        <f aca="false">IF(X39&gt;=0,A39,"")</f>
        <v>36</v>
      </c>
    </row>
    <row r="41" customFormat="false" ht="15" hidden="false" customHeight="false" outlineLevel="0" collapsed="false">
      <c r="A41" s="47" t="s">
        <v>131</v>
      </c>
      <c r="B41" s="47"/>
      <c r="C41" s="47"/>
      <c r="D41" s="47"/>
      <c r="E41" s="47"/>
    </row>
    <row r="42" customFormat="false" ht="15" hidden="false" customHeight="false" outlineLevel="0" collapsed="false">
      <c r="A42" s="26" t="s">
        <v>74</v>
      </c>
      <c r="B42" s="26" t="s">
        <v>76</v>
      </c>
      <c r="C42" s="26" t="s">
        <v>77</v>
      </c>
      <c r="D42" s="26" t="s">
        <v>78</v>
      </c>
      <c r="E42" s="26" t="s">
        <v>132</v>
      </c>
    </row>
    <row r="43" customFormat="false" ht="15" hidden="false" customHeight="false" outlineLevel="0" collapsed="false">
      <c r="A43" s="13" t="s">
        <v>133</v>
      </c>
      <c r="B43" s="31" t="n">
        <f aca="false">SUM(K4:K15)</f>
        <v>13135561.9846951</v>
      </c>
      <c r="C43" s="31" t="n">
        <f aca="false">SUM(K16:K27)</f>
        <v>19329646.0627876</v>
      </c>
      <c r="D43" s="31" t="n">
        <f aca="false">SUM(K28:K39)</f>
        <v>20468364.7910421</v>
      </c>
      <c r="E43" s="31" t="n">
        <f aca="false">SUM(K4:K39)</f>
        <v>52933572.8385248</v>
      </c>
    </row>
    <row r="44" customFormat="false" ht="23.85" hidden="false" customHeight="false" outlineLevel="0" collapsed="false">
      <c r="A44" s="13" t="s">
        <v>134</v>
      </c>
      <c r="B44" s="31" t="n">
        <f aca="false">SUM(N4:N15)</f>
        <v>10500000</v>
      </c>
      <c r="C44" s="31" t="n">
        <f aca="false">SUM(N16:N27)</f>
        <v>6240000</v>
      </c>
      <c r="D44" s="31" t="n">
        <f aca="false">SUM(N28:N39)</f>
        <v>6600000</v>
      </c>
      <c r="E44" s="31" t="n">
        <f aca="false">SUM(N4:N39)</f>
        <v>23340000</v>
      </c>
    </row>
    <row r="45" customFormat="false" ht="15" hidden="false" customHeight="false" outlineLevel="0" collapsed="false">
      <c r="A45" s="13" t="s">
        <v>135</v>
      </c>
      <c r="B45" s="31" t="n">
        <f aca="false">SUM(O4:O15)</f>
        <v>2635561.9846951</v>
      </c>
      <c r="C45" s="31" t="n">
        <f aca="false">SUM(O16:O27)</f>
        <v>13089646.0627876</v>
      </c>
      <c r="D45" s="31" t="n">
        <f aca="false">SUM(O28:O39)</f>
        <v>13868364.7910421</v>
      </c>
      <c r="E45" s="31" t="n">
        <f aca="false">SUM(O4:O39)</f>
        <v>29593572.8385248</v>
      </c>
    </row>
    <row r="46" customFormat="false" ht="15" hidden="false" customHeight="false" outlineLevel="0" collapsed="false">
      <c r="A46" s="13" t="s">
        <v>136</v>
      </c>
      <c r="B46" s="31" t="n">
        <f aca="false">SUM(S4:S15)</f>
        <v>527112.396939021</v>
      </c>
      <c r="C46" s="31" t="n">
        <f aca="false">SUM(S16:S27)</f>
        <v>2617929.21255753</v>
      </c>
      <c r="D46" s="31" t="n">
        <f aca="false">SUM(S28:S39)</f>
        <v>2773672.95820841</v>
      </c>
      <c r="E46" s="31" t="n">
        <f aca="false">SUM(S4:S39)</f>
        <v>5918714.56770496</v>
      </c>
    </row>
    <row r="47" customFormat="false" ht="23.85" hidden="false" customHeight="false" outlineLevel="0" collapsed="false">
      <c r="A47" s="13" t="s">
        <v>137</v>
      </c>
      <c r="B47" s="31" t="n">
        <f aca="false">SUM(T4:T15)</f>
        <v>2108449.58775608</v>
      </c>
      <c r="C47" s="31" t="n">
        <f aca="false">SUM(T16:T27)</f>
        <v>10471716.8502301</v>
      </c>
      <c r="D47" s="31" t="n">
        <f aca="false">SUM(T28:T39)</f>
        <v>11094691.8328336</v>
      </c>
      <c r="E47" s="31" t="n">
        <f aca="false">SUM(T4:T39)</f>
        <v>23674858.2708198</v>
      </c>
    </row>
    <row r="48" customFormat="false" ht="15" hidden="false" customHeight="false" outlineLevel="0" collapsed="false">
      <c r="A48" s="13" t="s">
        <v>138</v>
      </c>
      <c r="B48" s="31" t="n">
        <f aca="false">U15</f>
        <v>2108449.58775608</v>
      </c>
      <c r="C48" s="31" t="n">
        <f aca="false">U27</f>
        <v>12580166.4379862</v>
      </c>
      <c r="D48" s="31" t="n">
        <f aca="false">U39</f>
        <v>23674858.2708198</v>
      </c>
      <c r="E48" s="31" t="n">
        <f aca="false">U39</f>
        <v>23674858.2708198</v>
      </c>
    </row>
    <row r="50" customFormat="false" ht="15" hidden="false" customHeight="false" outlineLevel="0" collapsed="false">
      <c r="A50" s="13" t="s">
        <v>139</v>
      </c>
      <c r="B50" s="48"/>
      <c r="C50" s="48"/>
      <c r="D50" s="48"/>
      <c r="E50" s="31" t="n">
        <f aca="false">SUM(W4:W39)</f>
        <v>17716938.2182204</v>
      </c>
    </row>
    <row r="51" customFormat="false" ht="15" hidden="false" customHeight="false" outlineLevel="0" collapsed="false">
      <c r="A51" s="13" t="s">
        <v>140</v>
      </c>
      <c r="E51" s="49" t="n">
        <f aca="false">IFERROR((1+IRR(T4:T39))^12-1,"n/a")</f>
        <v>2.91360481755173</v>
      </c>
    </row>
    <row r="52" customFormat="false" ht="15" hidden="false" customHeight="false" outlineLevel="0" collapsed="false">
      <c r="A52" s="13" t="s">
        <v>141</v>
      </c>
      <c r="E52" s="50" t="n">
        <f aca="false">IFERROR(SMALL(Y4:Y39,1),"&gt;36")</f>
        <v>10</v>
      </c>
    </row>
    <row r="53" customFormat="false" ht="23.85" hidden="false" customHeight="false" outlineLevel="0" collapsed="false">
      <c r="A53" s="13" t="s">
        <v>142</v>
      </c>
      <c r="E53" s="50" t="n">
        <f aca="false">IFERROR(SMALL(Z4:Z39,1),"&gt;36")</f>
        <v>10</v>
      </c>
    </row>
    <row r="54" customFormat="false" ht="23.85" hidden="false" customHeight="false" outlineLevel="0" collapsed="false">
      <c r="A54" s="13" t="s">
        <v>143</v>
      </c>
      <c r="E54" s="49" t="n">
        <f aca="false">E47/E44</f>
        <v>1.01434696961525</v>
      </c>
    </row>
    <row r="55" customFormat="false" ht="15" hidden="false" customHeight="false" outlineLevel="0" collapsed="false">
      <c r="A55" s="13" t="s">
        <v>144</v>
      </c>
      <c r="E55" s="31" t="n">
        <f aca="false">SUMPRODUCT(K4:K39,V4:V39)</f>
        <v>41917703.1667238</v>
      </c>
    </row>
    <row r="56" customFormat="false" ht="15" hidden="false" customHeight="false" outlineLevel="0" collapsed="false">
      <c r="A56" s="13" t="s">
        <v>145</v>
      </c>
      <c r="E56" s="31" t="n">
        <f aca="false">SUMPRODUCT(N4:N39,V4:V39)</f>
        <v>19679899.4460442</v>
      </c>
    </row>
    <row r="57" customFormat="false" ht="15" hidden="false" customHeight="false" outlineLevel="0" collapsed="false">
      <c r="A57" s="13" t="s">
        <v>146</v>
      </c>
      <c r="E57" s="51" t="n">
        <f aca="false">E55/E56</f>
        <v>2.12997547480607</v>
      </c>
    </row>
  </sheetData>
  <mergeCells count="3">
    <mergeCell ref="A1:Z1"/>
    <mergeCell ref="A2:Z2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4" min="3" style="0" width="10.51"/>
    <col collapsed="false" customWidth="true" hidden="false" outlineLevel="0" max="5" min="5" style="0" width="18"/>
    <col collapsed="false" customWidth="true" hidden="false" outlineLevel="0" max="26" min="6" style="0" width="10.51"/>
  </cols>
  <sheetData>
    <row r="1" customFormat="false" ht="17.35" hidden="false" customHeight="false" outlineLevel="0" collapsed="false">
      <c r="A1" s="36" t="s">
        <v>148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customFormat="false" ht="15" hidden="false" customHeight="false" outlineLevel="0" collapsed="false">
      <c r="A2" s="37" t="s">
        <v>105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customFormat="false" ht="30" hidden="false" customHeight="true" outlineLevel="0" collapsed="false">
      <c r="A3" s="38" t="s">
        <v>41</v>
      </c>
      <c r="B3" s="38" t="s">
        <v>106</v>
      </c>
      <c r="C3" s="38" t="s">
        <v>107</v>
      </c>
      <c r="D3" s="38" t="s">
        <v>108</v>
      </c>
      <c r="E3" s="38" t="s">
        <v>109</v>
      </c>
      <c r="F3" s="38" t="s">
        <v>110</v>
      </c>
      <c r="G3" s="38" t="s">
        <v>111</v>
      </c>
      <c r="H3" s="38" t="s">
        <v>112</v>
      </c>
      <c r="I3" s="38" t="s">
        <v>113</v>
      </c>
      <c r="J3" s="38" t="s">
        <v>114</v>
      </c>
      <c r="K3" s="38" t="s">
        <v>115</v>
      </c>
      <c r="L3" s="38" t="s">
        <v>116</v>
      </c>
      <c r="M3" s="38" t="s">
        <v>117</v>
      </c>
      <c r="N3" s="38" t="s">
        <v>118</v>
      </c>
      <c r="O3" s="38" t="s">
        <v>119</v>
      </c>
      <c r="P3" s="38" t="s">
        <v>120</v>
      </c>
      <c r="Q3" s="38" t="s">
        <v>121</v>
      </c>
      <c r="R3" s="38" t="s">
        <v>122</v>
      </c>
      <c r="S3" s="38" t="s">
        <v>123</v>
      </c>
      <c r="T3" s="38" t="s">
        <v>124</v>
      </c>
      <c r="U3" s="38" t="s">
        <v>125</v>
      </c>
      <c r="V3" s="38" t="s">
        <v>126</v>
      </c>
      <c r="W3" s="38" t="s">
        <v>127</v>
      </c>
      <c r="X3" s="38" t="s">
        <v>128</v>
      </c>
      <c r="Y3" s="38" t="s">
        <v>129</v>
      </c>
      <c r="Z3" s="38" t="s">
        <v>130</v>
      </c>
    </row>
    <row r="4" customFormat="false" ht="15" hidden="false" customHeight="false" outlineLevel="0" collapsed="false">
      <c r="A4" s="39" t="n">
        <v>1</v>
      </c>
      <c r="B4" s="40" t="n">
        <f aca="false">EDATE(Inputs!$B$8,A4-1)</f>
        <v>46174</v>
      </c>
      <c r="C4" s="39" t="n">
        <f aca="false">ROUNDUP(A4/12,0)</f>
        <v>1</v>
      </c>
      <c r="D4" s="39" t="n">
        <f aca="false">MOD(A4-1,12)+1</f>
        <v>1</v>
      </c>
      <c r="E4" s="41" t="n">
        <f aca="false">IF(A4&lt;Inputs!$B$9,0,MIN(1,(A4-Inputs!$B$9+1)/Inputs!$I$32))</f>
        <v>0</v>
      </c>
      <c r="F4" s="42" t="n">
        <f aca="false">Inputs!$B$14*Inputs!$B$13*Inputs!$I$23</f>
        <v>280</v>
      </c>
      <c r="G4" s="42" t="n">
        <f aca="false">F4*Inputs!$B$12*E4</f>
        <v>0</v>
      </c>
      <c r="H4" s="42" t="n">
        <f aca="false">INDEX(Inputs!$I$26:$K$26,1,C4)</f>
        <v>3971749825.065</v>
      </c>
      <c r="I4" s="43" t="n">
        <f aca="false">INDEX(Inputs!$I$27:$K$27,1,C4)</f>
        <v>0.07</v>
      </c>
      <c r="J4" s="42" t="n">
        <f aca="false">H4*Inputs!$B$18*I4/12*E4</f>
        <v>0</v>
      </c>
      <c r="K4" s="42" t="n">
        <f aca="false">G4+J4</f>
        <v>0</v>
      </c>
      <c r="L4" s="42" t="n">
        <f aca="false">IF(A4=1,Inputs!$I$29,0)</f>
        <v>5000000</v>
      </c>
      <c r="M4" s="42" t="n">
        <f aca="false">IF(A4&gt;=Inputs!$B$9,INDEX(Inputs!$I$30:$K$30,1,C4),0)</f>
        <v>0</v>
      </c>
      <c r="N4" s="42" t="n">
        <f aca="false">L4+M4</f>
        <v>5000000</v>
      </c>
      <c r="O4" s="42" t="n">
        <f aca="false">K4-N4</f>
        <v>-5000000</v>
      </c>
      <c r="P4" s="42" t="n">
        <f aca="false">0</f>
        <v>0</v>
      </c>
      <c r="Q4" s="42" t="n">
        <f aca="false">MAX(O4-P4,0)</f>
        <v>0</v>
      </c>
      <c r="R4" s="42" t="n">
        <f aca="false">MAX(P4-O4,0)</f>
        <v>5000000</v>
      </c>
      <c r="S4" s="42" t="n">
        <f aca="false">Q4*Inputs!$B$11</f>
        <v>0</v>
      </c>
      <c r="T4" s="42" t="n">
        <f aca="false">O4-S4</f>
        <v>-5000000</v>
      </c>
      <c r="U4" s="42" t="n">
        <f aca="false">T4</f>
        <v>-5000000</v>
      </c>
      <c r="V4" s="44" t="n">
        <f aca="false">1/(1+Inputs!$B$10)^(A4/12)</f>
        <v>0.988420733228369</v>
      </c>
      <c r="W4" s="42" t="n">
        <f aca="false">T4*V4</f>
        <v>-4942103.66614185</v>
      </c>
      <c r="X4" s="42" t="n">
        <f aca="false">W4</f>
        <v>-4942103.66614185</v>
      </c>
      <c r="Y4" s="45" t="str">
        <f aca="false">IF(U4&gt;=0,A4,"")</f>
        <v/>
      </c>
      <c r="Z4" s="45" t="str">
        <f aca="false">IF(X4&gt;=0,A4,"")</f>
        <v/>
      </c>
    </row>
    <row r="5" customFormat="false" ht="15" hidden="false" customHeight="false" outlineLevel="0" collapsed="false">
      <c r="A5" s="39" t="n">
        <v>2</v>
      </c>
      <c r="B5" s="40" t="n">
        <f aca="false">EDATE(Inputs!$B$8,A5-1)</f>
        <v>46204</v>
      </c>
      <c r="C5" s="39" t="n">
        <f aca="false">ROUNDUP(A5/12,0)</f>
        <v>1</v>
      </c>
      <c r="D5" s="39" t="n">
        <f aca="false">MOD(A5-1,12)+1</f>
        <v>2</v>
      </c>
      <c r="E5" s="41" t="n">
        <f aca="false">IF(A5&lt;Inputs!$B$9,0,MIN(1,(A5-Inputs!$B$9+1)/Inputs!$I$32))</f>
        <v>0.333333333333333</v>
      </c>
      <c r="F5" s="42" t="n">
        <f aca="false">Inputs!$B$14*Inputs!$B$13*Inputs!$I$23</f>
        <v>280</v>
      </c>
      <c r="G5" s="42" t="n">
        <f aca="false">F5*Inputs!$B$12*E5</f>
        <v>533306.666666667</v>
      </c>
      <c r="H5" s="42" t="n">
        <f aca="false">INDEX(Inputs!$I$26:$K$26,1,C5)</f>
        <v>3971749825.065</v>
      </c>
      <c r="I5" s="43" t="n">
        <f aca="false">INDEX(Inputs!$I$27:$K$27,1,C5)</f>
        <v>0.07</v>
      </c>
      <c r="J5" s="42" t="n">
        <f aca="false">H5*Inputs!$B$18*I5/12*E5</f>
        <v>77228.4688207083</v>
      </c>
      <c r="K5" s="42" t="n">
        <f aca="false">G5+J5</f>
        <v>610535.135487375</v>
      </c>
      <c r="L5" s="42" t="n">
        <f aca="false">IF(A5=1,Inputs!$I$29,0)</f>
        <v>0</v>
      </c>
      <c r="M5" s="42" t="n">
        <f aca="false">IF(A5&gt;=Inputs!$B$9,INDEX(Inputs!$I$30:$K$30,1,C5),0)</f>
        <v>450000</v>
      </c>
      <c r="N5" s="42" t="n">
        <f aca="false">L5+M5</f>
        <v>450000</v>
      </c>
      <c r="O5" s="42" t="n">
        <f aca="false">K5-N5</f>
        <v>160535.135487375</v>
      </c>
      <c r="P5" s="42" t="n">
        <f aca="false">R4</f>
        <v>5000000</v>
      </c>
      <c r="Q5" s="42" t="n">
        <f aca="false">MAX(O5-P5,0)</f>
        <v>0</v>
      </c>
      <c r="R5" s="42" t="n">
        <f aca="false">MAX(P5-O5,0)</f>
        <v>4839464.86451263</v>
      </c>
      <c r="S5" s="42" t="n">
        <f aca="false">Q5*Inputs!$B$11</f>
        <v>0</v>
      </c>
      <c r="T5" s="42" t="n">
        <f aca="false">O5-S5</f>
        <v>160535.135487375</v>
      </c>
      <c r="U5" s="42" t="n">
        <f aca="false">U4+T5</f>
        <v>-4839464.86451263</v>
      </c>
      <c r="V5" s="44" t="n">
        <f aca="false">1/(1+Inputs!$B$10)^(A5/12)</f>
        <v>0.976975545875707</v>
      </c>
      <c r="W5" s="42" t="n">
        <f aca="false">T5*V5</f>
        <v>156838.901625009</v>
      </c>
      <c r="X5" s="42" t="n">
        <f aca="false">X4+W5</f>
        <v>-4785264.76451684</v>
      </c>
      <c r="Y5" s="45" t="str">
        <f aca="false">IF(U5&gt;=0,A5,"")</f>
        <v/>
      </c>
      <c r="Z5" s="45" t="str">
        <f aca="false">IF(X5&gt;=0,A5,"")</f>
        <v/>
      </c>
    </row>
    <row r="6" customFormat="false" ht="15" hidden="false" customHeight="false" outlineLevel="0" collapsed="false">
      <c r="A6" s="39" t="n">
        <v>3</v>
      </c>
      <c r="B6" s="40" t="n">
        <f aca="false">EDATE(Inputs!$B$8,A6-1)</f>
        <v>46235</v>
      </c>
      <c r="C6" s="39" t="n">
        <f aca="false">ROUNDUP(A6/12,0)</f>
        <v>1</v>
      </c>
      <c r="D6" s="39" t="n">
        <f aca="false">MOD(A6-1,12)+1</f>
        <v>3</v>
      </c>
      <c r="E6" s="41" t="n">
        <f aca="false">IF(A6&lt;Inputs!$B$9,0,MIN(1,(A6-Inputs!$B$9+1)/Inputs!$I$32))</f>
        <v>0.666666666666667</v>
      </c>
      <c r="F6" s="42" t="n">
        <f aca="false">Inputs!$B$14*Inputs!$B$13*Inputs!$I$23</f>
        <v>280</v>
      </c>
      <c r="G6" s="42" t="n">
        <f aca="false">F6*Inputs!$B$12*E6</f>
        <v>1066613.33333333</v>
      </c>
      <c r="H6" s="42" t="n">
        <f aca="false">INDEX(Inputs!$I$26:$K$26,1,C6)</f>
        <v>3971749825.065</v>
      </c>
      <c r="I6" s="43" t="n">
        <f aca="false">INDEX(Inputs!$I$27:$K$27,1,C6)</f>
        <v>0.07</v>
      </c>
      <c r="J6" s="42" t="n">
        <f aca="false">H6*Inputs!$B$18*I6/12*E6</f>
        <v>154456.937641417</v>
      </c>
      <c r="K6" s="42" t="n">
        <f aca="false">G6+J6</f>
        <v>1221070.27097475</v>
      </c>
      <c r="L6" s="42" t="n">
        <f aca="false">IF(A6=1,Inputs!$I$29,0)</f>
        <v>0</v>
      </c>
      <c r="M6" s="42" t="n">
        <f aca="false">IF(A6&gt;=Inputs!$B$9,INDEX(Inputs!$I$30:$K$30,1,C6),0)</f>
        <v>450000</v>
      </c>
      <c r="N6" s="42" t="n">
        <f aca="false">L6+M6</f>
        <v>450000</v>
      </c>
      <c r="O6" s="42" t="n">
        <f aca="false">K6-N6</f>
        <v>771070.27097475</v>
      </c>
      <c r="P6" s="42" t="n">
        <f aca="false">R5</f>
        <v>4839464.86451263</v>
      </c>
      <c r="Q6" s="42" t="n">
        <f aca="false">MAX(O6-P6,0)</f>
        <v>0</v>
      </c>
      <c r="R6" s="42" t="n">
        <f aca="false">MAX(P6-O6,0)</f>
        <v>4068394.59353788</v>
      </c>
      <c r="S6" s="42" t="n">
        <f aca="false">Q6*Inputs!$B$11</f>
        <v>0</v>
      </c>
      <c r="T6" s="42" t="n">
        <f aca="false">O6-S6</f>
        <v>771070.27097475</v>
      </c>
      <c r="U6" s="42" t="n">
        <f aca="false">U5+T6</f>
        <v>-4068394.59353788</v>
      </c>
      <c r="V6" s="44" t="n">
        <f aca="false">1/(1+Inputs!$B$10)^(A6/12)</f>
        <v>0.965662885400653</v>
      </c>
      <c r="W6" s="42" t="n">
        <f aca="false">T6*V6</f>
        <v>744593.94271614</v>
      </c>
      <c r="X6" s="42" t="n">
        <f aca="false">X5+W6</f>
        <v>-4040670.8218007</v>
      </c>
      <c r="Y6" s="45" t="str">
        <f aca="false">IF(U6&gt;=0,A6,"")</f>
        <v/>
      </c>
      <c r="Z6" s="45" t="str">
        <f aca="false">IF(X6&gt;=0,A6,"")</f>
        <v/>
      </c>
    </row>
    <row r="7" customFormat="false" ht="15" hidden="false" customHeight="false" outlineLevel="0" collapsed="false">
      <c r="A7" s="39" t="n">
        <v>4</v>
      </c>
      <c r="B7" s="40" t="n">
        <f aca="false">EDATE(Inputs!$B$8,A7-1)</f>
        <v>46266</v>
      </c>
      <c r="C7" s="39" t="n">
        <f aca="false">ROUNDUP(A7/12,0)</f>
        <v>1</v>
      </c>
      <c r="D7" s="39" t="n">
        <f aca="false">MOD(A7-1,12)+1</f>
        <v>4</v>
      </c>
      <c r="E7" s="41" t="n">
        <f aca="false">IF(A7&lt;Inputs!$B$9,0,MIN(1,(A7-Inputs!$B$9+1)/Inputs!$I$32))</f>
        <v>1</v>
      </c>
      <c r="F7" s="42" t="n">
        <f aca="false">Inputs!$B$14*Inputs!$B$13*Inputs!$I$23</f>
        <v>280</v>
      </c>
      <c r="G7" s="42" t="n">
        <f aca="false">F7*Inputs!$B$12*E7</f>
        <v>1599920</v>
      </c>
      <c r="H7" s="42" t="n">
        <f aca="false">INDEX(Inputs!$I$26:$K$26,1,C7)</f>
        <v>3971749825.065</v>
      </c>
      <c r="I7" s="43" t="n">
        <f aca="false">INDEX(Inputs!$I$27:$K$27,1,C7)</f>
        <v>0.07</v>
      </c>
      <c r="J7" s="42" t="n">
        <f aca="false">H7*Inputs!$B$18*I7/12*E7</f>
        <v>231685.406462125</v>
      </c>
      <c r="K7" s="42" t="n">
        <f aca="false">G7+J7</f>
        <v>1831605.40646213</v>
      </c>
      <c r="L7" s="42" t="n">
        <f aca="false">IF(A7=1,Inputs!$I$29,0)</f>
        <v>0</v>
      </c>
      <c r="M7" s="42" t="n">
        <f aca="false">IF(A7&gt;=Inputs!$B$9,INDEX(Inputs!$I$30:$K$30,1,C7),0)</f>
        <v>450000</v>
      </c>
      <c r="N7" s="42" t="n">
        <f aca="false">L7+M7</f>
        <v>450000</v>
      </c>
      <c r="O7" s="42" t="n">
        <f aca="false">K7-N7</f>
        <v>1381605.40646213</v>
      </c>
      <c r="P7" s="42" t="n">
        <f aca="false">R6</f>
        <v>4068394.59353788</v>
      </c>
      <c r="Q7" s="42" t="n">
        <f aca="false">MAX(O7-P7,0)</f>
        <v>0</v>
      </c>
      <c r="R7" s="42" t="n">
        <f aca="false">MAX(P7-O7,0)</f>
        <v>2686789.18707575</v>
      </c>
      <c r="S7" s="42" t="n">
        <f aca="false">Q7*Inputs!$B$11</f>
        <v>0</v>
      </c>
      <c r="T7" s="42" t="n">
        <f aca="false">O7-S7</f>
        <v>1381605.40646213</v>
      </c>
      <c r="U7" s="42" t="n">
        <f aca="false">U6+T7</f>
        <v>-2686789.18707575</v>
      </c>
      <c r="V7" s="44" t="n">
        <f aca="false">1/(1+Inputs!$B$10)^(A7/12)</f>
        <v>0.954481217239136</v>
      </c>
      <c r="W7" s="42" t="n">
        <f aca="false">T7*V7</f>
        <v>1318716.41010414</v>
      </c>
      <c r="X7" s="42" t="n">
        <f aca="false">X6+W7</f>
        <v>-2721954.41169656</v>
      </c>
      <c r="Y7" s="45" t="str">
        <f aca="false">IF(U7&gt;=0,A7,"")</f>
        <v/>
      </c>
      <c r="Z7" s="45" t="str">
        <f aca="false">IF(X7&gt;=0,A7,"")</f>
        <v/>
      </c>
    </row>
    <row r="8" customFormat="false" ht="15" hidden="false" customHeight="false" outlineLevel="0" collapsed="false">
      <c r="A8" s="39" t="n">
        <v>5</v>
      </c>
      <c r="B8" s="40" t="n">
        <f aca="false">EDATE(Inputs!$B$8,A8-1)</f>
        <v>46296</v>
      </c>
      <c r="C8" s="39" t="n">
        <f aca="false">ROUNDUP(A8/12,0)</f>
        <v>1</v>
      </c>
      <c r="D8" s="39" t="n">
        <f aca="false">MOD(A8-1,12)+1</f>
        <v>5</v>
      </c>
      <c r="E8" s="41" t="n">
        <f aca="false">IF(A8&lt;Inputs!$B$9,0,MIN(1,(A8-Inputs!$B$9+1)/Inputs!$I$32))</f>
        <v>1</v>
      </c>
      <c r="F8" s="42" t="n">
        <f aca="false">Inputs!$B$14*Inputs!$B$13*Inputs!$I$23</f>
        <v>280</v>
      </c>
      <c r="G8" s="42" t="n">
        <f aca="false">F8*Inputs!$B$12*E8</f>
        <v>1599920</v>
      </c>
      <c r="H8" s="42" t="n">
        <f aca="false">INDEX(Inputs!$I$26:$K$26,1,C8)</f>
        <v>3971749825.065</v>
      </c>
      <c r="I8" s="43" t="n">
        <f aca="false">INDEX(Inputs!$I$27:$K$27,1,C8)</f>
        <v>0.07</v>
      </c>
      <c r="J8" s="42" t="n">
        <f aca="false">H8*Inputs!$B$18*I8/12*E8</f>
        <v>231685.406462125</v>
      </c>
      <c r="K8" s="42" t="n">
        <f aca="false">G8+J8</f>
        <v>1831605.40646213</v>
      </c>
      <c r="L8" s="42" t="n">
        <f aca="false">IF(A8=1,Inputs!$I$29,0)</f>
        <v>0</v>
      </c>
      <c r="M8" s="42" t="n">
        <f aca="false">IF(A8&gt;=Inputs!$B$9,INDEX(Inputs!$I$30:$K$30,1,C8),0)</f>
        <v>450000</v>
      </c>
      <c r="N8" s="42" t="n">
        <f aca="false">L8+M8</f>
        <v>450000</v>
      </c>
      <c r="O8" s="42" t="n">
        <f aca="false">K8-N8</f>
        <v>1381605.40646213</v>
      </c>
      <c r="P8" s="42" t="n">
        <f aca="false">R7</f>
        <v>2686789.18707575</v>
      </c>
      <c r="Q8" s="42" t="n">
        <f aca="false">MAX(O8-P8,0)</f>
        <v>0</v>
      </c>
      <c r="R8" s="42" t="n">
        <f aca="false">MAX(P8-O8,0)</f>
        <v>1305183.78061363</v>
      </c>
      <c r="S8" s="42" t="n">
        <f aca="false">Q8*Inputs!$B$11</f>
        <v>0</v>
      </c>
      <c r="T8" s="42" t="n">
        <f aca="false">O8-S8</f>
        <v>1381605.40646213</v>
      </c>
      <c r="U8" s="42" t="n">
        <f aca="false">U7+T8</f>
        <v>-1305183.78061363</v>
      </c>
      <c r="V8" s="44" t="n">
        <f aca="false">1/(1+Inputs!$B$10)^(A8/12)</f>
        <v>0.943429024596213</v>
      </c>
      <c r="W8" s="42" t="n">
        <f aca="false">T8*V8</f>
        <v>1303446.64099542</v>
      </c>
      <c r="X8" s="42" t="n">
        <f aca="false">X7+W8</f>
        <v>-1418507.77070114</v>
      </c>
      <c r="Y8" s="45" t="str">
        <f aca="false">IF(U8&gt;=0,A8,"")</f>
        <v/>
      </c>
      <c r="Z8" s="45" t="str">
        <f aca="false">IF(X8&gt;=0,A8,"")</f>
        <v/>
      </c>
    </row>
    <row r="9" customFormat="false" ht="15" hidden="false" customHeight="false" outlineLevel="0" collapsed="false">
      <c r="A9" s="39" t="n">
        <v>6</v>
      </c>
      <c r="B9" s="40" t="n">
        <f aca="false">EDATE(Inputs!$B$8,A9-1)</f>
        <v>46327</v>
      </c>
      <c r="C9" s="39" t="n">
        <f aca="false">ROUNDUP(A9/12,0)</f>
        <v>1</v>
      </c>
      <c r="D9" s="39" t="n">
        <f aca="false">MOD(A9-1,12)+1</f>
        <v>6</v>
      </c>
      <c r="E9" s="41" t="n">
        <f aca="false">IF(A9&lt;Inputs!$B$9,0,MIN(1,(A9-Inputs!$B$9+1)/Inputs!$I$32))</f>
        <v>1</v>
      </c>
      <c r="F9" s="42" t="n">
        <f aca="false">Inputs!$B$14*Inputs!$B$13*Inputs!$I$23</f>
        <v>280</v>
      </c>
      <c r="G9" s="42" t="n">
        <f aca="false">F9*Inputs!$B$12*E9</f>
        <v>1599920</v>
      </c>
      <c r="H9" s="42" t="n">
        <f aca="false">INDEX(Inputs!$I$26:$K$26,1,C9)</f>
        <v>3971749825.065</v>
      </c>
      <c r="I9" s="43" t="n">
        <f aca="false">INDEX(Inputs!$I$27:$K$27,1,C9)</f>
        <v>0.07</v>
      </c>
      <c r="J9" s="42" t="n">
        <f aca="false">H9*Inputs!$B$18*I9/12*E9</f>
        <v>231685.406462125</v>
      </c>
      <c r="K9" s="42" t="n">
        <f aca="false">G9+J9</f>
        <v>1831605.40646213</v>
      </c>
      <c r="L9" s="42" t="n">
        <f aca="false">IF(A9=1,Inputs!$I$29,0)</f>
        <v>0</v>
      </c>
      <c r="M9" s="42" t="n">
        <f aca="false">IF(A9&gt;=Inputs!$B$9,INDEX(Inputs!$I$30:$K$30,1,C9),0)</f>
        <v>450000</v>
      </c>
      <c r="N9" s="42" t="n">
        <f aca="false">L9+M9</f>
        <v>450000</v>
      </c>
      <c r="O9" s="42" t="n">
        <f aca="false">K9-N9</f>
        <v>1381605.40646213</v>
      </c>
      <c r="P9" s="42" t="n">
        <f aca="false">R8</f>
        <v>1305183.78061363</v>
      </c>
      <c r="Q9" s="42" t="n">
        <f aca="false">MAX(O9-P9,0)</f>
        <v>76421.6258484996</v>
      </c>
      <c r="R9" s="42" t="n">
        <f aca="false">MAX(P9-O9,0)</f>
        <v>0</v>
      </c>
      <c r="S9" s="42" t="n">
        <f aca="false">Q9*Inputs!$B$11</f>
        <v>15284.3251696999</v>
      </c>
      <c r="T9" s="42" t="n">
        <f aca="false">O9-S9</f>
        <v>1366321.08129243</v>
      </c>
      <c r="U9" s="42" t="n">
        <f aca="false">U8+T9</f>
        <v>61137.3006787996</v>
      </c>
      <c r="V9" s="44" t="n">
        <f aca="false">1/(1+Inputs!$B$10)^(A9/12)</f>
        <v>0.932504808240314</v>
      </c>
      <c r="W9" s="42" t="n">
        <f aca="false">T9*V9</f>
        <v>1274100.97790529</v>
      </c>
      <c r="X9" s="42" t="n">
        <f aca="false">X8+W9</f>
        <v>-144406.792795849</v>
      </c>
      <c r="Y9" s="46" t="n">
        <f aca="false">IF(U9&gt;=0,A9,"")</f>
        <v>6</v>
      </c>
      <c r="Z9" s="45" t="str">
        <f aca="false">IF(X9&gt;=0,A9,"")</f>
        <v/>
      </c>
    </row>
    <row r="10" customFormat="false" ht="15" hidden="false" customHeight="false" outlineLevel="0" collapsed="false">
      <c r="A10" s="39" t="n">
        <v>7</v>
      </c>
      <c r="B10" s="40" t="n">
        <f aca="false">EDATE(Inputs!$B$8,A10-1)</f>
        <v>46357</v>
      </c>
      <c r="C10" s="39" t="n">
        <f aca="false">ROUNDUP(A10/12,0)</f>
        <v>1</v>
      </c>
      <c r="D10" s="39" t="n">
        <f aca="false">MOD(A10-1,12)+1</f>
        <v>7</v>
      </c>
      <c r="E10" s="41" t="n">
        <f aca="false">IF(A10&lt;Inputs!$B$9,0,MIN(1,(A10-Inputs!$B$9+1)/Inputs!$I$32))</f>
        <v>1</v>
      </c>
      <c r="F10" s="42" t="n">
        <f aca="false">Inputs!$B$14*Inputs!$B$13*Inputs!$I$23</f>
        <v>280</v>
      </c>
      <c r="G10" s="42" t="n">
        <f aca="false">F10*Inputs!$B$12*E10</f>
        <v>1599920</v>
      </c>
      <c r="H10" s="42" t="n">
        <f aca="false">INDEX(Inputs!$I$26:$K$26,1,C10)</f>
        <v>3971749825.065</v>
      </c>
      <c r="I10" s="43" t="n">
        <f aca="false">INDEX(Inputs!$I$27:$K$27,1,C10)</f>
        <v>0.07</v>
      </c>
      <c r="J10" s="42" t="n">
        <f aca="false">H10*Inputs!$B$18*I10/12*E10</f>
        <v>231685.406462125</v>
      </c>
      <c r="K10" s="42" t="n">
        <f aca="false">G10+J10</f>
        <v>1831605.40646213</v>
      </c>
      <c r="L10" s="42" t="n">
        <f aca="false">IF(A10=1,Inputs!$I$29,0)</f>
        <v>0</v>
      </c>
      <c r="M10" s="42" t="n">
        <f aca="false">IF(A10&gt;=Inputs!$B$9,INDEX(Inputs!$I$30:$K$30,1,C10),0)</f>
        <v>450000</v>
      </c>
      <c r="N10" s="42" t="n">
        <f aca="false">L10+M10</f>
        <v>450000</v>
      </c>
      <c r="O10" s="42" t="n">
        <f aca="false">K10-N10</f>
        <v>1381605.40646213</v>
      </c>
      <c r="P10" s="42" t="n">
        <f aca="false">R9</f>
        <v>0</v>
      </c>
      <c r="Q10" s="42" t="n">
        <f aca="false">MAX(O10-P10,0)</f>
        <v>1381605.40646213</v>
      </c>
      <c r="R10" s="42" t="n">
        <f aca="false">MAX(P10-O10,0)</f>
        <v>0</v>
      </c>
      <c r="S10" s="42" t="n">
        <f aca="false">Q10*Inputs!$B$11</f>
        <v>276321.081292425</v>
      </c>
      <c r="T10" s="42" t="n">
        <f aca="false">O10-S10</f>
        <v>1105284.3251697</v>
      </c>
      <c r="U10" s="42" t="n">
        <f aca="false">U9+T10</f>
        <v>1166421.6258485</v>
      </c>
      <c r="V10" s="44" t="n">
        <f aca="false">1/(1+Inputs!$B$10)^(A10/12)</f>
        <v>0.921707086299871</v>
      </c>
      <c r="W10" s="42" t="n">
        <f aca="false">T10*V10</f>
        <v>1018748.39488508</v>
      </c>
      <c r="X10" s="42" t="n">
        <f aca="false">X9+W10</f>
        <v>874341.602089234</v>
      </c>
      <c r="Y10" s="46" t="n">
        <f aca="false">IF(U10&gt;=0,A10,"")</f>
        <v>7</v>
      </c>
      <c r="Z10" s="46" t="n">
        <f aca="false">IF(X10&gt;=0,A10,"")</f>
        <v>7</v>
      </c>
    </row>
    <row r="11" customFormat="false" ht="15" hidden="false" customHeight="false" outlineLevel="0" collapsed="false">
      <c r="A11" s="39" t="n">
        <v>8</v>
      </c>
      <c r="B11" s="40" t="n">
        <f aca="false">EDATE(Inputs!$B$8,A11-1)</f>
        <v>46388</v>
      </c>
      <c r="C11" s="39" t="n">
        <f aca="false">ROUNDUP(A11/12,0)</f>
        <v>1</v>
      </c>
      <c r="D11" s="39" t="n">
        <f aca="false">MOD(A11-1,12)+1</f>
        <v>8</v>
      </c>
      <c r="E11" s="41" t="n">
        <f aca="false">IF(A11&lt;Inputs!$B$9,0,MIN(1,(A11-Inputs!$B$9+1)/Inputs!$I$32))</f>
        <v>1</v>
      </c>
      <c r="F11" s="42" t="n">
        <f aca="false">Inputs!$B$14*Inputs!$B$13*Inputs!$I$23</f>
        <v>280</v>
      </c>
      <c r="G11" s="42" t="n">
        <f aca="false">F11*Inputs!$B$12*E11</f>
        <v>1599920</v>
      </c>
      <c r="H11" s="42" t="n">
        <f aca="false">INDEX(Inputs!$I$26:$K$26,1,C11)</f>
        <v>3971749825.065</v>
      </c>
      <c r="I11" s="43" t="n">
        <f aca="false">INDEX(Inputs!$I$27:$K$27,1,C11)</f>
        <v>0.07</v>
      </c>
      <c r="J11" s="42" t="n">
        <f aca="false">H11*Inputs!$B$18*I11/12*E11</f>
        <v>231685.406462125</v>
      </c>
      <c r="K11" s="42" t="n">
        <f aca="false">G11+J11</f>
        <v>1831605.40646213</v>
      </c>
      <c r="L11" s="42" t="n">
        <f aca="false">IF(A11=1,Inputs!$I$29,0)</f>
        <v>0</v>
      </c>
      <c r="M11" s="42" t="n">
        <f aca="false">IF(A11&gt;=Inputs!$B$9,INDEX(Inputs!$I$30:$K$30,1,C11),0)</f>
        <v>450000</v>
      </c>
      <c r="N11" s="42" t="n">
        <f aca="false">L11+M11</f>
        <v>450000</v>
      </c>
      <c r="O11" s="42" t="n">
        <f aca="false">K11-N11</f>
        <v>1381605.40646213</v>
      </c>
      <c r="P11" s="42" t="n">
        <f aca="false">R10</f>
        <v>0</v>
      </c>
      <c r="Q11" s="42" t="n">
        <f aca="false">MAX(O11-P11,0)</f>
        <v>1381605.40646213</v>
      </c>
      <c r="R11" s="42" t="n">
        <f aca="false">MAX(P11-O11,0)</f>
        <v>0</v>
      </c>
      <c r="S11" s="42" t="n">
        <f aca="false">Q11*Inputs!$B$11</f>
        <v>276321.081292425</v>
      </c>
      <c r="T11" s="42" t="n">
        <f aca="false">O11-S11</f>
        <v>1105284.3251697</v>
      </c>
      <c r="U11" s="42" t="n">
        <f aca="false">U10+T11</f>
        <v>2271705.9510182</v>
      </c>
      <c r="V11" s="44" t="n">
        <f aca="false">1/(1+Inputs!$B$10)^(A11/12)</f>
        <v>0.911034394062302</v>
      </c>
      <c r="W11" s="42" t="n">
        <f aca="false">T11*V11</f>
        <v>1006952.03544754</v>
      </c>
      <c r="X11" s="42" t="n">
        <f aca="false">X10+W11</f>
        <v>1881293.63753677</v>
      </c>
      <c r="Y11" s="46" t="n">
        <f aca="false">IF(U11&gt;=0,A11,"")</f>
        <v>8</v>
      </c>
      <c r="Z11" s="46" t="n">
        <f aca="false">IF(X11&gt;=0,A11,"")</f>
        <v>8</v>
      </c>
    </row>
    <row r="12" customFormat="false" ht="15" hidden="false" customHeight="false" outlineLevel="0" collapsed="false">
      <c r="A12" s="39" t="n">
        <v>9</v>
      </c>
      <c r="B12" s="40" t="n">
        <f aca="false">EDATE(Inputs!$B$8,A12-1)</f>
        <v>46419</v>
      </c>
      <c r="C12" s="39" t="n">
        <f aca="false">ROUNDUP(A12/12,0)</f>
        <v>1</v>
      </c>
      <c r="D12" s="39" t="n">
        <f aca="false">MOD(A12-1,12)+1</f>
        <v>9</v>
      </c>
      <c r="E12" s="41" t="n">
        <f aca="false">IF(A12&lt;Inputs!$B$9,0,MIN(1,(A12-Inputs!$B$9+1)/Inputs!$I$32))</f>
        <v>1</v>
      </c>
      <c r="F12" s="42" t="n">
        <f aca="false">Inputs!$B$14*Inputs!$B$13*Inputs!$I$23</f>
        <v>280</v>
      </c>
      <c r="G12" s="42" t="n">
        <f aca="false">F12*Inputs!$B$12*E12</f>
        <v>1599920</v>
      </c>
      <c r="H12" s="42" t="n">
        <f aca="false">INDEX(Inputs!$I$26:$K$26,1,C12)</f>
        <v>3971749825.065</v>
      </c>
      <c r="I12" s="43" t="n">
        <f aca="false">INDEX(Inputs!$I$27:$K$27,1,C12)</f>
        <v>0.07</v>
      </c>
      <c r="J12" s="42" t="n">
        <f aca="false">H12*Inputs!$B$18*I12/12*E12</f>
        <v>231685.406462125</v>
      </c>
      <c r="K12" s="42" t="n">
        <f aca="false">G12+J12</f>
        <v>1831605.40646213</v>
      </c>
      <c r="L12" s="42" t="n">
        <f aca="false">IF(A12=1,Inputs!$I$29,0)</f>
        <v>0</v>
      </c>
      <c r="M12" s="42" t="n">
        <f aca="false">IF(A12&gt;=Inputs!$B$9,INDEX(Inputs!$I$30:$K$30,1,C12),0)</f>
        <v>450000</v>
      </c>
      <c r="N12" s="42" t="n">
        <f aca="false">L12+M12</f>
        <v>450000</v>
      </c>
      <c r="O12" s="42" t="n">
        <f aca="false">K12-N12</f>
        <v>1381605.40646213</v>
      </c>
      <c r="P12" s="42" t="n">
        <f aca="false">R11</f>
        <v>0</v>
      </c>
      <c r="Q12" s="42" t="n">
        <f aca="false">MAX(O12-P12,0)</f>
        <v>1381605.40646213</v>
      </c>
      <c r="R12" s="42" t="n">
        <f aca="false">MAX(P12-O12,0)</f>
        <v>0</v>
      </c>
      <c r="S12" s="42" t="n">
        <f aca="false">Q12*Inputs!$B$11</f>
        <v>276321.081292425</v>
      </c>
      <c r="T12" s="42" t="n">
        <f aca="false">O12-S12</f>
        <v>1105284.3251697</v>
      </c>
      <c r="U12" s="42" t="n">
        <f aca="false">U11+T12</f>
        <v>3376990.2761879</v>
      </c>
      <c r="V12" s="44" t="n">
        <f aca="false">1/(1+Inputs!$B$10)^(A12/12)</f>
        <v>0.900485283775324</v>
      </c>
      <c r="W12" s="42" t="n">
        <f aca="false">T12*V12</f>
        <v>995292.269202854</v>
      </c>
      <c r="X12" s="42" t="n">
        <f aca="false">X11+W12</f>
        <v>2876585.90673963</v>
      </c>
      <c r="Y12" s="46" t="n">
        <f aca="false">IF(U12&gt;=0,A12,"")</f>
        <v>9</v>
      </c>
      <c r="Z12" s="46" t="n">
        <f aca="false">IF(X12&gt;=0,A12,"")</f>
        <v>9</v>
      </c>
    </row>
    <row r="13" customFormat="false" ht="15" hidden="false" customHeight="false" outlineLevel="0" collapsed="false">
      <c r="A13" s="39" t="n">
        <v>10</v>
      </c>
      <c r="B13" s="40" t="n">
        <f aca="false">EDATE(Inputs!$B$8,A13-1)</f>
        <v>46447</v>
      </c>
      <c r="C13" s="39" t="n">
        <f aca="false">ROUNDUP(A13/12,0)</f>
        <v>1</v>
      </c>
      <c r="D13" s="39" t="n">
        <f aca="false">MOD(A13-1,12)+1</f>
        <v>10</v>
      </c>
      <c r="E13" s="41" t="n">
        <f aca="false">IF(A13&lt;Inputs!$B$9,0,MIN(1,(A13-Inputs!$B$9+1)/Inputs!$I$32))</f>
        <v>1</v>
      </c>
      <c r="F13" s="42" t="n">
        <f aca="false">Inputs!$B$14*Inputs!$B$13*Inputs!$I$23</f>
        <v>280</v>
      </c>
      <c r="G13" s="42" t="n">
        <f aca="false">F13*Inputs!$B$12*E13</f>
        <v>1599920</v>
      </c>
      <c r="H13" s="42" t="n">
        <f aca="false">INDEX(Inputs!$I$26:$K$26,1,C13)</f>
        <v>3971749825.065</v>
      </c>
      <c r="I13" s="43" t="n">
        <f aca="false">INDEX(Inputs!$I$27:$K$27,1,C13)</f>
        <v>0.07</v>
      </c>
      <c r="J13" s="42" t="n">
        <f aca="false">H13*Inputs!$B$18*I13/12*E13</f>
        <v>231685.406462125</v>
      </c>
      <c r="K13" s="42" t="n">
        <f aca="false">G13+J13</f>
        <v>1831605.40646213</v>
      </c>
      <c r="L13" s="42" t="n">
        <f aca="false">IF(A13=1,Inputs!$I$29,0)</f>
        <v>0</v>
      </c>
      <c r="M13" s="42" t="n">
        <f aca="false">IF(A13&gt;=Inputs!$B$9,INDEX(Inputs!$I$30:$K$30,1,C13),0)</f>
        <v>450000</v>
      </c>
      <c r="N13" s="42" t="n">
        <f aca="false">L13+M13</f>
        <v>450000</v>
      </c>
      <c r="O13" s="42" t="n">
        <f aca="false">K13-N13</f>
        <v>1381605.40646213</v>
      </c>
      <c r="P13" s="42" t="n">
        <f aca="false">R12</f>
        <v>0</v>
      </c>
      <c r="Q13" s="42" t="n">
        <f aca="false">MAX(O13-P13,0)</f>
        <v>1381605.40646213</v>
      </c>
      <c r="R13" s="42" t="n">
        <f aca="false">MAX(P13-O13,0)</f>
        <v>0</v>
      </c>
      <c r="S13" s="42" t="n">
        <f aca="false">Q13*Inputs!$B$11</f>
        <v>276321.081292425</v>
      </c>
      <c r="T13" s="42" t="n">
        <f aca="false">O13-S13</f>
        <v>1105284.3251697</v>
      </c>
      <c r="U13" s="42" t="n">
        <f aca="false">U12+T13</f>
        <v>4482274.6013576</v>
      </c>
      <c r="V13" s="44" t="n">
        <f aca="false">1/(1+Inputs!$B$10)^(A13/12)</f>
        <v>0.890058324450561</v>
      </c>
      <c r="W13" s="42" t="n">
        <f aca="false">T13*V13</f>
        <v>983767.514502013</v>
      </c>
      <c r="X13" s="42" t="n">
        <f aca="false">X12+W13</f>
        <v>3860353.42124164</v>
      </c>
      <c r="Y13" s="46" t="n">
        <f aca="false">IF(U13&gt;=0,A13,"")</f>
        <v>10</v>
      </c>
      <c r="Z13" s="46" t="n">
        <f aca="false">IF(X13&gt;=0,A13,"")</f>
        <v>10</v>
      </c>
    </row>
    <row r="14" customFormat="false" ht="15" hidden="false" customHeight="false" outlineLevel="0" collapsed="false">
      <c r="A14" s="39" t="n">
        <v>11</v>
      </c>
      <c r="B14" s="40" t="n">
        <f aca="false">EDATE(Inputs!$B$8,A14-1)</f>
        <v>46478</v>
      </c>
      <c r="C14" s="39" t="n">
        <f aca="false">ROUNDUP(A14/12,0)</f>
        <v>1</v>
      </c>
      <c r="D14" s="39" t="n">
        <f aca="false">MOD(A14-1,12)+1</f>
        <v>11</v>
      </c>
      <c r="E14" s="41" t="n">
        <f aca="false">IF(A14&lt;Inputs!$B$9,0,MIN(1,(A14-Inputs!$B$9+1)/Inputs!$I$32))</f>
        <v>1</v>
      </c>
      <c r="F14" s="42" t="n">
        <f aca="false">Inputs!$B$14*Inputs!$B$13*Inputs!$I$23</f>
        <v>280</v>
      </c>
      <c r="G14" s="42" t="n">
        <f aca="false">F14*Inputs!$B$12*E14</f>
        <v>1599920</v>
      </c>
      <c r="H14" s="42" t="n">
        <f aca="false">INDEX(Inputs!$I$26:$K$26,1,C14)</f>
        <v>3971749825.065</v>
      </c>
      <c r="I14" s="43" t="n">
        <f aca="false">INDEX(Inputs!$I$27:$K$27,1,C14)</f>
        <v>0.07</v>
      </c>
      <c r="J14" s="42" t="n">
        <f aca="false">H14*Inputs!$B$18*I14/12*E14</f>
        <v>231685.406462125</v>
      </c>
      <c r="K14" s="42" t="n">
        <f aca="false">G14+J14</f>
        <v>1831605.40646213</v>
      </c>
      <c r="L14" s="42" t="n">
        <f aca="false">IF(A14=1,Inputs!$I$29,0)</f>
        <v>0</v>
      </c>
      <c r="M14" s="42" t="n">
        <f aca="false">IF(A14&gt;=Inputs!$B$9,INDEX(Inputs!$I$30:$K$30,1,C14),0)</f>
        <v>450000</v>
      </c>
      <c r="N14" s="42" t="n">
        <f aca="false">L14+M14</f>
        <v>450000</v>
      </c>
      <c r="O14" s="42" t="n">
        <f aca="false">K14-N14</f>
        <v>1381605.40646213</v>
      </c>
      <c r="P14" s="42" t="n">
        <f aca="false">R13</f>
        <v>0</v>
      </c>
      <c r="Q14" s="42" t="n">
        <f aca="false">MAX(O14-P14,0)</f>
        <v>1381605.40646213</v>
      </c>
      <c r="R14" s="42" t="n">
        <f aca="false">MAX(P14-O14,0)</f>
        <v>0</v>
      </c>
      <c r="S14" s="42" t="n">
        <f aca="false">Q14*Inputs!$B$11</f>
        <v>276321.081292425</v>
      </c>
      <c r="T14" s="42" t="n">
        <f aca="false">O14-S14</f>
        <v>1105284.3251697</v>
      </c>
      <c r="U14" s="42" t="n">
        <f aca="false">U13+T14</f>
        <v>5587558.9265273</v>
      </c>
      <c r="V14" s="44" t="n">
        <f aca="false">1/(1+Inputs!$B$10)^(A14/12)</f>
        <v>0.879752101669438</v>
      </c>
      <c r="W14" s="42" t="n">
        <f aca="false">T14*V14</f>
        <v>972376.20801033</v>
      </c>
      <c r="X14" s="42" t="n">
        <f aca="false">X13+W14</f>
        <v>4832729.62925197</v>
      </c>
      <c r="Y14" s="46" t="n">
        <f aca="false">IF(U14&gt;=0,A14,"")</f>
        <v>11</v>
      </c>
      <c r="Z14" s="46" t="n">
        <f aca="false">IF(X14&gt;=0,A14,"")</f>
        <v>11</v>
      </c>
    </row>
    <row r="15" customFormat="false" ht="15" hidden="false" customHeight="false" outlineLevel="0" collapsed="false">
      <c r="A15" s="39" t="n">
        <v>12</v>
      </c>
      <c r="B15" s="40" t="n">
        <f aca="false">EDATE(Inputs!$B$8,A15-1)</f>
        <v>46508</v>
      </c>
      <c r="C15" s="39" t="n">
        <f aca="false">ROUNDUP(A15/12,0)</f>
        <v>1</v>
      </c>
      <c r="D15" s="39" t="n">
        <f aca="false">MOD(A15-1,12)+1</f>
        <v>12</v>
      </c>
      <c r="E15" s="41" t="n">
        <f aca="false">IF(A15&lt;Inputs!$B$9,0,MIN(1,(A15-Inputs!$B$9+1)/Inputs!$I$32))</f>
        <v>1</v>
      </c>
      <c r="F15" s="42" t="n">
        <f aca="false">Inputs!$B$14*Inputs!$B$13*Inputs!$I$23</f>
        <v>280</v>
      </c>
      <c r="G15" s="42" t="n">
        <f aca="false">F15*Inputs!$B$12*E15</f>
        <v>1599920</v>
      </c>
      <c r="H15" s="42" t="n">
        <f aca="false">INDEX(Inputs!$I$26:$K$26,1,C15)</f>
        <v>3971749825.065</v>
      </c>
      <c r="I15" s="43" t="n">
        <f aca="false">INDEX(Inputs!$I$27:$K$27,1,C15)</f>
        <v>0.07</v>
      </c>
      <c r="J15" s="42" t="n">
        <f aca="false">H15*Inputs!$B$18*I15/12*E15</f>
        <v>231685.406462125</v>
      </c>
      <c r="K15" s="42" t="n">
        <f aca="false">G15+J15</f>
        <v>1831605.40646213</v>
      </c>
      <c r="L15" s="42" t="n">
        <f aca="false">IF(A15=1,Inputs!$I$29,0)</f>
        <v>0</v>
      </c>
      <c r="M15" s="42" t="n">
        <f aca="false">IF(A15&gt;=Inputs!$B$9,INDEX(Inputs!$I$30:$K$30,1,C15),0)</f>
        <v>450000</v>
      </c>
      <c r="N15" s="42" t="n">
        <f aca="false">L15+M15</f>
        <v>450000</v>
      </c>
      <c r="O15" s="42" t="n">
        <f aca="false">K15-N15</f>
        <v>1381605.40646213</v>
      </c>
      <c r="P15" s="42" t="n">
        <f aca="false">R14</f>
        <v>0</v>
      </c>
      <c r="Q15" s="42" t="n">
        <f aca="false">MAX(O15-P15,0)</f>
        <v>1381605.40646213</v>
      </c>
      <c r="R15" s="42" t="n">
        <f aca="false">MAX(P15-O15,0)</f>
        <v>0</v>
      </c>
      <c r="S15" s="42" t="n">
        <f aca="false">Q15*Inputs!$B$11</f>
        <v>276321.081292425</v>
      </c>
      <c r="T15" s="42" t="n">
        <f aca="false">O15-S15</f>
        <v>1105284.3251697</v>
      </c>
      <c r="U15" s="42" t="n">
        <f aca="false">U14+T15</f>
        <v>6692843.251697</v>
      </c>
      <c r="V15" s="44" t="n">
        <f aca="false">1/(1+Inputs!$B$10)^(A15/12)</f>
        <v>0.869565217391304</v>
      </c>
      <c r="W15" s="42" t="n">
        <f aca="false">T15*V15</f>
        <v>961116.804495391</v>
      </c>
      <c r="X15" s="42" t="n">
        <f aca="false">X14+W15</f>
        <v>5793846.43374736</v>
      </c>
      <c r="Y15" s="46" t="n">
        <f aca="false">IF(U15&gt;=0,A15,"")</f>
        <v>12</v>
      </c>
      <c r="Z15" s="46" t="n">
        <f aca="false">IF(X15&gt;=0,A15,"")</f>
        <v>12</v>
      </c>
    </row>
    <row r="16" customFormat="false" ht="15" hidden="false" customHeight="false" outlineLevel="0" collapsed="false">
      <c r="A16" s="39" t="n">
        <v>13</v>
      </c>
      <c r="B16" s="40" t="n">
        <f aca="false">EDATE(Inputs!$B$8,A16-1)</f>
        <v>46539</v>
      </c>
      <c r="C16" s="39" t="n">
        <f aca="false">ROUNDUP(A16/12,0)</f>
        <v>2</v>
      </c>
      <c r="D16" s="39" t="n">
        <f aca="false">MOD(A16-1,12)+1</f>
        <v>1</v>
      </c>
      <c r="E16" s="41" t="n">
        <f aca="false">IF(A16&lt;Inputs!$B$9,0,MIN(1,(A16-Inputs!$B$9+1)/Inputs!$I$32))</f>
        <v>1</v>
      </c>
      <c r="F16" s="42" t="n">
        <f aca="false">Inputs!$B$14*Inputs!$B$13*Inputs!$I$23</f>
        <v>280</v>
      </c>
      <c r="G16" s="42" t="n">
        <f aca="false">F16*Inputs!$B$12*E16</f>
        <v>1599920</v>
      </c>
      <c r="H16" s="42" t="n">
        <f aca="false">INDEX(Inputs!$I$26:$K$26,1,C16)</f>
        <v>6553387211.35725</v>
      </c>
      <c r="I16" s="43" t="n">
        <f aca="false">INDEX(Inputs!$I$27:$K$27,1,C16)</f>
        <v>0.07</v>
      </c>
      <c r="J16" s="42" t="n">
        <f aca="false">H16*Inputs!$B$18*I16/12*E16</f>
        <v>382280.920662506</v>
      </c>
      <c r="K16" s="42" t="n">
        <f aca="false">G16+J16</f>
        <v>1982200.92066251</v>
      </c>
      <c r="L16" s="42" t="n">
        <f aca="false">IF(A16=1,Inputs!$I$29,0)</f>
        <v>0</v>
      </c>
      <c r="M16" s="42" t="n">
        <f aca="false">IF(A16&gt;=Inputs!$B$9,INDEX(Inputs!$I$30:$K$30,1,C16),0)</f>
        <v>460000</v>
      </c>
      <c r="N16" s="42" t="n">
        <f aca="false">L16+M16</f>
        <v>460000</v>
      </c>
      <c r="O16" s="42" t="n">
        <f aca="false">K16-N16</f>
        <v>1522200.92066251</v>
      </c>
      <c r="P16" s="42" t="n">
        <f aca="false">R15</f>
        <v>0</v>
      </c>
      <c r="Q16" s="42" t="n">
        <f aca="false">MAX(O16-P16,0)</f>
        <v>1522200.92066251</v>
      </c>
      <c r="R16" s="42" t="n">
        <f aca="false">MAX(P16-O16,0)</f>
        <v>0</v>
      </c>
      <c r="S16" s="42" t="n">
        <f aca="false">Q16*Inputs!$B$11</f>
        <v>304440.184132501</v>
      </c>
      <c r="T16" s="42" t="n">
        <f aca="false">O16-S16</f>
        <v>1217760.73653001</v>
      </c>
      <c r="U16" s="42" t="n">
        <f aca="false">U15+T16</f>
        <v>7910603.98822701</v>
      </c>
      <c r="V16" s="44" t="n">
        <f aca="false">1/(1+Inputs!$B$10)^(A16/12)</f>
        <v>0.859496289763799</v>
      </c>
      <c r="W16" s="42" t="n">
        <f aca="false">T16*V16</f>
        <v>1046660.83486757</v>
      </c>
      <c r="X16" s="42" t="n">
        <f aca="false">X15+W16</f>
        <v>6840507.26861493</v>
      </c>
      <c r="Y16" s="46" t="n">
        <f aca="false">IF(U16&gt;=0,A16,"")</f>
        <v>13</v>
      </c>
      <c r="Z16" s="46" t="n">
        <f aca="false">IF(X16&gt;=0,A16,"")</f>
        <v>13</v>
      </c>
    </row>
    <row r="17" customFormat="false" ht="15" hidden="false" customHeight="false" outlineLevel="0" collapsed="false">
      <c r="A17" s="39" t="n">
        <v>14</v>
      </c>
      <c r="B17" s="40" t="n">
        <f aca="false">EDATE(Inputs!$B$8,A17-1)</f>
        <v>46569</v>
      </c>
      <c r="C17" s="39" t="n">
        <f aca="false">ROUNDUP(A17/12,0)</f>
        <v>2</v>
      </c>
      <c r="D17" s="39" t="n">
        <f aca="false">MOD(A17-1,12)+1</f>
        <v>2</v>
      </c>
      <c r="E17" s="41" t="n">
        <f aca="false">IF(A17&lt;Inputs!$B$9,0,MIN(1,(A17-Inputs!$B$9+1)/Inputs!$I$32))</f>
        <v>1</v>
      </c>
      <c r="F17" s="42" t="n">
        <f aca="false">Inputs!$B$14*Inputs!$B$13*Inputs!$I$23</f>
        <v>280</v>
      </c>
      <c r="G17" s="42" t="n">
        <f aca="false">F17*Inputs!$B$12*E17</f>
        <v>1599920</v>
      </c>
      <c r="H17" s="42" t="n">
        <f aca="false">INDEX(Inputs!$I$26:$K$26,1,C17)</f>
        <v>6553387211.35725</v>
      </c>
      <c r="I17" s="43" t="n">
        <f aca="false">INDEX(Inputs!$I$27:$K$27,1,C17)</f>
        <v>0.07</v>
      </c>
      <c r="J17" s="42" t="n">
        <f aca="false">H17*Inputs!$B$18*I17/12*E17</f>
        <v>382280.920662506</v>
      </c>
      <c r="K17" s="42" t="n">
        <f aca="false">G17+J17</f>
        <v>1982200.92066251</v>
      </c>
      <c r="L17" s="42" t="n">
        <f aca="false">IF(A17=1,Inputs!$I$29,0)</f>
        <v>0</v>
      </c>
      <c r="M17" s="42" t="n">
        <f aca="false">IF(A17&gt;=Inputs!$B$9,INDEX(Inputs!$I$30:$K$30,1,C17),0)</f>
        <v>460000</v>
      </c>
      <c r="N17" s="42" t="n">
        <f aca="false">L17+M17</f>
        <v>460000</v>
      </c>
      <c r="O17" s="42" t="n">
        <f aca="false">K17-N17</f>
        <v>1522200.92066251</v>
      </c>
      <c r="P17" s="42" t="n">
        <f aca="false">R16</f>
        <v>0</v>
      </c>
      <c r="Q17" s="42" t="n">
        <f aca="false">MAX(O17-P17,0)</f>
        <v>1522200.92066251</v>
      </c>
      <c r="R17" s="42" t="n">
        <f aca="false">MAX(P17-O17,0)</f>
        <v>0</v>
      </c>
      <c r="S17" s="42" t="n">
        <f aca="false">Q17*Inputs!$B$11</f>
        <v>304440.184132501</v>
      </c>
      <c r="T17" s="42" t="n">
        <f aca="false">O17-S17</f>
        <v>1217760.73653001</v>
      </c>
      <c r="U17" s="42" t="n">
        <f aca="false">U16+T17</f>
        <v>9128364.72475701</v>
      </c>
      <c r="V17" s="44" t="n">
        <f aca="false">1/(1+Inputs!$B$10)^(A17/12)</f>
        <v>0.849543952935397</v>
      </c>
      <c r="W17" s="42" t="n">
        <f aca="false">T17*V17</f>
        <v>1034541.26984122</v>
      </c>
      <c r="X17" s="42" t="n">
        <f aca="false">X16+W17</f>
        <v>7875048.53845615</v>
      </c>
      <c r="Y17" s="46" t="n">
        <f aca="false">IF(U17&gt;=0,A17,"")</f>
        <v>14</v>
      </c>
      <c r="Z17" s="46" t="n">
        <f aca="false">IF(X17&gt;=0,A17,"")</f>
        <v>14</v>
      </c>
    </row>
    <row r="18" customFormat="false" ht="15" hidden="false" customHeight="false" outlineLevel="0" collapsed="false">
      <c r="A18" s="39" t="n">
        <v>15</v>
      </c>
      <c r="B18" s="40" t="n">
        <f aca="false">EDATE(Inputs!$B$8,A18-1)</f>
        <v>46600</v>
      </c>
      <c r="C18" s="39" t="n">
        <f aca="false">ROUNDUP(A18/12,0)</f>
        <v>2</v>
      </c>
      <c r="D18" s="39" t="n">
        <f aca="false">MOD(A18-1,12)+1</f>
        <v>3</v>
      </c>
      <c r="E18" s="41" t="n">
        <f aca="false">IF(A18&lt;Inputs!$B$9,0,MIN(1,(A18-Inputs!$B$9+1)/Inputs!$I$32))</f>
        <v>1</v>
      </c>
      <c r="F18" s="42" t="n">
        <f aca="false">Inputs!$B$14*Inputs!$B$13*Inputs!$I$23</f>
        <v>280</v>
      </c>
      <c r="G18" s="42" t="n">
        <f aca="false">F18*Inputs!$B$12*E18</f>
        <v>1599920</v>
      </c>
      <c r="H18" s="42" t="n">
        <f aca="false">INDEX(Inputs!$I$26:$K$26,1,C18)</f>
        <v>6553387211.35725</v>
      </c>
      <c r="I18" s="43" t="n">
        <f aca="false">INDEX(Inputs!$I$27:$K$27,1,C18)</f>
        <v>0.07</v>
      </c>
      <c r="J18" s="42" t="n">
        <f aca="false">H18*Inputs!$B$18*I18/12*E18</f>
        <v>382280.920662506</v>
      </c>
      <c r="K18" s="42" t="n">
        <f aca="false">G18+J18</f>
        <v>1982200.92066251</v>
      </c>
      <c r="L18" s="42" t="n">
        <f aca="false">IF(A18=1,Inputs!$I$29,0)</f>
        <v>0</v>
      </c>
      <c r="M18" s="42" t="n">
        <f aca="false">IF(A18&gt;=Inputs!$B$9,INDEX(Inputs!$I$30:$K$30,1,C18),0)</f>
        <v>460000</v>
      </c>
      <c r="N18" s="42" t="n">
        <f aca="false">L18+M18</f>
        <v>460000</v>
      </c>
      <c r="O18" s="42" t="n">
        <f aca="false">K18-N18</f>
        <v>1522200.92066251</v>
      </c>
      <c r="P18" s="42" t="n">
        <f aca="false">R17</f>
        <v>0</v>
      </c>
      <c r="Q18" s="42" t="n">
        <f aca="false">MAX(O18-P18,0)</f>
        <v>1522200.92066251</v>
      </c>
      <c r="R18" s="42" t="n">
        <f aca="false">MAX(P18-O18,0)</f>
        <v>0</v>
      </c>
      <c r="S18" s="42" t="n">
        <f aca="false">Q18*Inputs!$B$11</f>
        <v>304440.184132501</v>
      </c>
      <c r="T18" s="42" t="n">
        <f aca="false">O18-S18</f>
        <v>1217760.73653001</v>
      </c>
      <c r="U18" s="42" t="n">
        <f aca="false">U17+T18</f>
        <v>10346125.461287</v>
      </c>
      <c r="V18" s="44" t="n">
        <f aca="false">1/(1+Inputs!$B$10)^(A18/12)</f>
        <v>0.839706856870133</v>
      </c>
      <c r="W18" s="42" t="n">
        <f aca="false">T18*V18</f>
        <v>1022562.04049147</v>
      </c>
      <c r="X18" s="42" t="n">
        <f aca="false">X17+W18</f>
        <v>8897610.57894762</v>
      </c>
      <c r="Y18" s="46" t="n">
        <f aca="false">IF(U18&gt;=0,A18,"")</f>
        <v>15</v>
      </c>
      <c r="Z18" s="46" t="n">
        <f aca="false">IF(X18&gt;=0,A18,"")</f>
        <v>15</v>
      </c>
    </row>
    <row r="19" customFormat="false" ht="15" hidden="false" customHeight="false" outlineLevel="0" collapsed="false">
      <c r="A19" s="39" t="n">
        <v>16</v>
      </c>
      <c r="B19" s="40" t="n">
        <f aca="false">EDATE(Inputs!$B$8,A19-1)</f>
        <v>46631</v>
      </c>
      <c r="C19" s="39" t="n">
        <f aca="false">ROUNDUP(A19/12,0)</f>
        <v>2</v>
      </c>
      <c r="D19" s="39" t="n">
        <f aca="false">MOD(A19-1,12)+1</f>
        <v>4</v>
      </c>
      <c r="E19" s="41" t="n">
        <f aca="false">IF(A19&lt;Inputs!$B$9,0,MIN(1,(A19-Inputs!$B$9+1)/Inputs!$I$32))</f>
        <v>1</v>
      </c>
      <c r="F19" s="42" t="n">
        <f aca="false">Inputs!$B$14*Inputs!$B$13*Inputs!$I$23</f>
        <v>280</v>
      </c>
      <c r="G19" s="42" t="n">
        <f aca="false">F19*Inputs!$B$12*E19</f>
        <v>1599920</v>
      </c>
      <c r="H19" s="42" t="n">
        <f aca="false">INDEX(Inputs!$I$26:$K$26,1,C19)</f>
        <v>6553387211.35725</v>
      </c>
      <c r="I19" s="43" t="n">
        <f aca="false">INDEX(Inputs!$I$27:$K$27,1,C19)</f>
        <v>0.07</v>
      </c>
      <c r="J19" s="42" t="n">
        <f aca="false">H19*Inputs!$B$18*I19/12*E19</f>
        <v>382280.920662506</v>
      </c>
      <c r="K19" s="42" t="n">
        <f aca="false">G19+J19</f>
        <v>1982200.92066251</v>
      </c>
      <c r="L19" s="42" t="n">
        <f aca="false">IF(A19=1,Inputs!$I$29,0)</f>
        <v>0</v>
      </c>
      <c r="M19" s="42" t="n">
        <f aca="false">IF(A19&gt;=Inputs!$B$9,INDEX(Inputs!$I$30:$K$30,1,C19),0)</f>
        <v>460000</v>
      </c>
      <c r="N19" s="42" t="n">
        <f aca="false">L19+M19</f>
        <v>460000</v>
      </c>
      <c r="O19" s="42" t="n">
        <f aca="false">K19-N19</f>
        <v>1522200.92066251</v>
      </c>
      <c r="P19" s="42" t="n">
        <f aca="false">R18</f>
        <v>0</v>
      </c>
      <c r="Q19" s="42" t="n">
        <f aca="false">MAX(O19-P19,0)</f>
        <v>1522200.92066251</v>
      </c>
      <c r="R19" s="42" t="n">
        <f aca="false">MAX(P19-O19,0)</f>
        <v>0</v>
      </c>
      <c r="S19" s="42" t="n">
        <f aca="false">Q19*Inputs!$B$11</f>
        <v>304440.184132501</v>
      </c>
      <c r="T19" s="42" t="n">
        <f aca="false">O19-S19</f>
        <v>1217760.73653001</v>
      </c>
      <c r="U19" s="42" t="n">
        <f aca="false">U18+T19</f>
        <v>11563886.197817</v>
      </c>
      <c r="V19" s="44" t="n">
        <f aca="false">1/(1+Inputs!$B$10)^(A19/12)</f>
        <v>0.829983667164466</v>
      </c>
      <c r="W19" s="42" t="n">
        <f aca="false">T19*V19</f>
        <v>1010721.52183407</v>
      </c>
      <c r="X19" s="42" t="n">
        <f aca="false">X18+W19</f>
        <v>9908332.10078169</v>
      </c>
      <c r="Y19" s="46" t="n">
        <f aca="false">IF(U19&gt;=0,A19,"")</f>
        <v>16</v>
      </c>
      <c r="Z19" s="46" t="n">
        <f aca="false">IF(X19&gt;=0,A19,"")</f>
        <v>16</v>
      </c>
    </row>
    <row r="20" customFormat="false" ht="15" hidden="false" customHeight="false" outlineLevel="0" collapsed="false">
      <c r="A20" s="39" t="n">
        <v>17</v>
      </c>
      <c r="B20" s="40" t="n">
        <f aca="false">EDATE(Inputs!$B$8,A20-1)</f>
        <v>46661</v>
      </c>
      <c r="C20" s="39" t="n">
        <f aca="false">ROUNDUP(A20/12,0)</f>
        <v>2</v>
      </c>
      <c r="D20" s="39" t="n">
        <f aca="false">MOD(A20-1,12)+1</f>
        <v>5</v>
      </c>
      <c r="E20" s="41" t="n">
        <f aca="false">IF(A20&lt;Inputs!$B$9,0,MIN(1,(A20-Inputs!$B$9+1)/Inputs!$I$32))</f>
        <v>1</v>
      </c>
      <c r="F20" s="42" t="n">
        <f aca="false">Inputs!$B$14*Inputs!$B$13*Inputs!$I$23</f>
        <v>280</v>
      </c>
      <c r="G20" s="42" t="n">
        <f aca="false">F20*Inputs!$B$12*E20</f>
        <v>1599920</v>
      </c>
      <c r="H20" s="42" t="n">
        <f aca="false">INDEX(Inputs!$I$26:$K$26,1,C20)</f>
        <v>6553387211.35725</v>
      </c>
      <c r="I20" s="43" t="n">
        <f aca="false">INDEX(Inputs!$I$27:$K$27,1,C20)</f>
        <v>0.07</v>
      </c>
      <c r="J20" s="42" t="n">
        <f aca="false">H20*Inputs!$B$18*I20/12*E20</f>
        <v>382280.920662506</v>
      </c>
      <c r="K20" s="42" t="n">
        <f aca="false">G20+J20</f>
        <v>1982200.92066251</v>
      </c>
      <c r="L20" s="42" t="n">
        <f aca="false">IF(A20=1,Inputs!$I$29,0)</f>
        <v>0</v>
      </c>
      <c r="M20" s="42" t="n">
        <f aca="false">IF(A20&gt;=Inputs!$B$9,INDEX(Inputs!$I$30:$K$30,1,C20),0)</f>
        <v>460000</v>
      </c>
      <c r="N20" s="42" t="n">
        <f aca="false">L20+M20</f>
        <v>460000</v>
      </c>
      <c r="O20" s="42" t="n">
        <f aca="false">K20-N20</f>
        <v>1522200.92066251</v>
      </c>
      <c r="P20" s="42" t="n">
        <f aca="false">R19</f>
        <v>0</v>
      </c>
      <c r="Q20" s="42" t="n">
        <f aca="false">MAX(O20-P20,0)</f>
        <v>1522200.92066251</v>
      </c>
      <c r="R20" s="42" t="n">
        <f aca="false">MAX(P20-O20,0)</f>
        <v>0</v>
      </c>
      <c r="S20" s="42" t="n">
        <f aca="false">Q20*Inputs!$B$11</f>
        <v>304440.184132501</v>
      </c>
      <c r="T20" s="42" t="n">
        <f aca="false">O20-S20</f>
        <v>1217760.73653001</v>
      </c>
      <c r="U20" s="42" t="n">
        <f aca="false">U19+T20</f>
        <v>12781646.934347</v>
      </c>
      <c r="V20" s="44" t="n">
        <f aca="false">1/(1+Inputs!$B$10)^(A20/12)</f>
        <v>0.820373064866272</v>
      </c>
      <c r="W20" s="42" t="n">
        <f aca="false">T20*V20</f>
        <v>999018.107700929</v>
      </c>
      <c r="X20" s="42" t="n">
        <f aca="false">X19+W20</f>
        <v>10907350.2084826</v>
      </c>
      <c r="Y20" s="46" t="n">
        <f aca="false">IF(U20&gt;=0,A20,"")</f>
        <v>17</v>
      </c>
      <c r="Z20" s="46" t="n">
        <f aca="false">IF(X20&gt;=0,A20,"")</f>
        <v>17</v>
      </c>
    </row>
    <row r="21" customFormat="false" ht="15" hidden="false" customHeight="false" outlineLevel="0" collapsed="false">
      <c r="A21" s="39" t="n">
        <v>18</v>
      </c>
      <c r="B21" s="40" t="n">
        <f aca="false">EDATE(Inputs!$B$8,A21-1)</f>
        <v>46692</v>
      </c>
      <c r="C21" s="39" t="n">
        <f aca="false">ROUNDUP(A21/12,0)</f>
        <v>2</v>
      </c>
      <c r="D21" s="39" t="n">
        <f aca="false">MOD(A21-1,12)+1</f>
        <v>6</v>
      </c>
      <c r="E21" s="41" t="n">
        <f aca="false">IF(A21&lt;Inputs!$B$9,0,MIN(1,(A21-Inputs!$B$9+1)/Inputs!$I$32))</f>
        <v>1</v>
      </c>
      <c r="F21" s="42" t="n">
        <f aca="false">Inputs!$B$14*Inputs!$B$13*Inputs!$I$23</f>
        <v>280</v>
      </c>
      <c r="G21" s="42" t="n">
        <f aca="false">F21*Inputs!$B$12*E21</f>
        <v>1599920</v>
      </c>
      <c r="H21" s="42" t="n">
        <f aca="false">INDEX(Inputs!$I$26:$K$26,1,C21)</f>
        <v>6553387211.35725</v>
      </c>
      <c r="I21" s="43" t="n">
        <f aca="false">INDEX(Inputs!$I$27:$K$27,1,C21)</f>
        <v>0.07</v>
      </c>
      <c r="J21" s="42" t="n">
        <f aca="false">H21*Inputs!$B$18*I21/12*E21</f>
        <v>382280.920662506</v>
      </c>
      <c r="K21" s="42" t="n">
        <f aca="false">G21+J21</f>
        <v>1982200.92066251</v>
      </c>
      <c r="L21" s="42" t="n">
        <f aca="false">IF(A21=1,Inputs!$I$29,0)</f>
        <v>0</v>
      </c>
      <c r="M21" s="42" t="n">
        <f aca="false">IF(A21&gt;=Inputs!$B$9,INDEX(Inputs!$I$30:$K$30,1,C21),0)</f>
        <v>460000</v>
      </c>
      <c r="N21" s="42" t="n">
        <f aca="false">L21+M21</f>
        <v>460000</v>
      </c>
      <c r="O21" s="42" t="n">
        <f aca="false">K21-N21</f>
        <v>1522200.92066251</v>
      </c>
      <c r="P21" s="42" t="n">
        <f aca="false">R20</f>
        <v>0</v>
      </c>
      <c r="Q21" s="42" t="n">
        <f aca="false">MAX(O21-P21,0)</f>
        <v>1522200.92066251</v>
      </c>
      <c r="R21" s="42" t="n">
        <f aca="false">MAX(P21-O21,0)</f>
        <v>0</v>
      </c>
      <c r="S21" s="42" t="n">
        <f aca="false">Q21*Inputs!$B$11</f>
        <v>304440.184132501</v>
      </c>
      <c r="T21" s="42" t="n">
        <f aca="false">O21-S21</f>
        <v>1217760.73653001</v>
      </c>
      <c r="U21" s="42" t="n">
        <f aca="false">U20+T21</f>
        <v>13999407.670877</v>
      </c>
      <c r="V21" s="44" t="n">
        <f aca="false">1/(1+Inputs!$B$10)^(A21/12)</f>
        <v>0.810873746295925</v>
      </c>
      <c r="W21" s="42" t="n">
        <f aca="false">T21*V21</f>
        <v>987450.21052217</v>
      </c>
      <c r="X21" s="42" t="n">
        <f aca="false">X20+W21</f>
        <v>11894800.4190048</v>
      </c>
      <c r="Y21" s="46" t="n">
        <f aca="false">IF(U21&gt;=0,A21,"")</f>
        <v>18</v>
      </c>
      <c r="Z21" s="46" t="n">
        <f aca="false">IF(X21&gt;=0,A21,"")</f>
        <v>18</v>
      </c>
    </row>
    <row r="22" customFormat="false" ht="15" hidden="false" customHeight="false" outlineLevel="0" collapsed="false">
      <c r="A22" s="39" t="n">
        <v>19</v>
      </c>
      <c r="B22" s="40" t="n">
        <f aca="false">EDATE(Inputs!$B$8,A22-1)</f>
        <v>46722</v>
      </c>
      <c r="C22" s="39" t="n">
        <f aca="false">ROUNDUP(A22/12,0)</f>
        <v>2</v>
      </c>
      <c r="D22" s="39" t="n">
        <f aca="false">MOD(A22-1,12)+1</f>
        <v>7</v>
      </c>
      <c r="E22" s="41" t="n">
        <f aca="false">IF(A22&lt;Inputs!$B$9,0,MIN(1,(A22-Inputs!$B$9+1)/Inputs!$I$32))</f>
        <v>1</v>
      </c>
      <c r="F22" s="42" t="n">
        <f aca="false">Inputs!$B$14*Inputs!$B$13*Inputs!$I$23</f>
        <v>280</v>
      </c>
      <c r="G22" s="42" t="n">
        <f aca="false">F22*Inputs!$B$12*E22</f>
        <v>1599920</v>
      </c>
      <c r="H22" s="42" t="n">
        <f aca="false">INDEX(Inputs!$I$26:$K$26,1,C22)</f>
        <v>6553387211.35725</v>
      </c>
      <c r="I22" s="43" t="n">
        <f aca="false">INDEX(Inputs!$I$27:$K$27,1,C22)</f>
        <v>0.07</v>
      </c>
      <c r="J22" s="42" t="n">
        <f aca="false">H22*Inputs!$B$18*I22/12*E22</f>
        <v>382280.920662506</v>
      </c>
      <c r="K22" s="42" t="n">
        <f aca="false">G22+J22</f>
        <v>1982200.92066251</v>
      </c>
      <c r="L22" s="42" t="n">
        <f aca="false">IF(A22=1,Inputs!$I$29,0)</f>
        <v>0</v>
      </c>
      <c r="M22" s="42" t="n">
        <f aca="false">IF(A22&gt;=Inputs!$B$9,INDEX(Inputs!$I$30:$K$30,1,C22),0)</f>
        <v>460000</v>
      </c>
      <c r="N22" s="42" t="n">
        <f aca="false">L22+M22</f>
        <v>460000</v>
      </c>
      <c r="O22" s="42" t="n">
        <f aca="false">K22-N22</f>
        <v>1522200.92066251</v>
      </c>
      <c r="P22" s="42" t="n">
        <f aca="false">R21</f>
        <v>0</v>
      </c>
      <c r="Q22" s="42" t="n">
        <f aca="false">MAX(O22-P22,0)</f>
        <v>1522200.92066251</v>
      </c>
      <c r="R22" s="42" t="n">
        <f aca="false">MAX(P22-O22,0)</f>
        <v>0</v>
      </c>
      <c r="S22" s="42" t="n">
        <f aca="false">Q22*Inputs!$B$11</f>
        <v>304440.184132501</v>
      </c>
      <c r="T22" s="42" t="n">
        <f aca="false">O22-S22</f>
        <v>1217760.73653001</v>
      </c>
      <c r="U22" s="42" t="n">
        <f aca="false">U21+T22</f>
        <v>15217168.407407</v>
      </c>
      <c r="V22" s="44" t="n">
        <f aca="false">1/(1+Inputs!$B$10)^(A22/12)</f>
        <v>0.801484422869453</v>
      </c>
      <c r="W22" s="42" t="n">
        <f aca="false">T22*V22</f>
        <v>976016.261110831</v>
      </c>
      <c r="X22" s="42" t="n">
        <f aca="false">X21+W22</f>
        <v>12870816.6801156</v>
      </c>
      <c r="Y22" s="46" t="n">
        <f aca="false">IF(U22&gt;=0,A22,"")</f>
        <v>19</v>
      </c>
      <c r="Z22" s="46" t="n">
        <f aca="false">IF(X22&gt;=0,A22,"")</f>
        <v>19</v>
      </c>
    </row>
    <row r="23" customFormat="false" ht="15" hidden="false" customHeight="false" outlineLevel="0" collapsed="false">
      <c r="A23" s="39" t="n">
        <v>20</v>
      </c>
      <c r="B23" s="40" t="n">
        <f aca="false">EDATE(Inputs!$B$8,A23-1)</f>
        <v>46753</v>
      </c>
      <c r="C23" s="39" t="n">
        <f aca="false">ROUNDUP(A23/12,0)</f>
        <v>2</v>
      </c>
      <c r="D23" s="39" t="n">
        <f aca="false">MOD(A23-1,12)+1</f>
        <v>8</v>
      </c>
      <c r="E23" s="41" t="n">
        <f aca="false">IF(A23&lt;Inputs!$B$9,0,MIN(1,(A23-Inputs!$B$9+1)/Inputs!$I$32))</f>
        <v>1</v>
      </c>
      <c r="F23" s="42" t="n">
        <f aca="false">Inputs!$B$14*Inputs!$B$13*Inputs!$I$23</f>
        <v>280</v>
      </c>
      <c r="G23" s="42" t="n">
        <f aca="false">F23*Inputs!$B$12*E23</f>
        <v>1599920</v>
      </c>
      <c r="H23" s="42" t="n">
        <f aca="false">INDEX(Inputs!$I$26:$K$26,1,C23)</f>
        <v>6553387211.35725</v>
      </c>
      <c r="I23" s="43" t="n">
        <f aca="false">INDEX(Inputs!$I$27:$K$27,1,C23)</f>
        <v>0.07</v>
      </c>
      <c r="J23" s="42" t="n">
        <f aca="false">H23*Inputs!$B$18*I23/12*E23</f>
        <v>382280.920662506</v>
      </c>
      <c r="K23" s="42" t="n">
        <f aca="false">G23+J23</f>
        <v>1982200.92066251</v>
      </c>
      <c r="L23" s="42" t="n">
        <f aca="false">IF(A23=1,Inputs!$I$29,0)</f>
        <v>0</v>
      </c>
      <c r="M23" s="42" t="n">
        <f aca="false">IF(A23&gt;=Inputs!$B$9,INDEX(Inputs!$I$30:$K$30,1,C23),0)</f>
        <v>460000</v>
      </c>
      <c r="N23" s="42" t="n">
        <f aca="false">L23+M23</f>
        <v>460000</v>
      </c>
      <c r="O23" s="42" t="n">
        <f aca="false">K23-N23</f>
        <v>1522200.92066251</v>
      </c>
      <c r="P23" s="42" t="n">
        <f aca="false">R22</f>
        <v>0</v>
      </c>
      <c r="Q23" s="42" t="n">
        <f aca="false">MAX(O23-P23,0)</f>
        <v>1522200.92066251</v>
      </c>
      <c r="R23" s="42" t="n">
        <f aca="false">MAX(P23-O23,0)</f>
        <v>0</v>
      </c>
      <c r="S23" s="42" t="n">
        <f aca="false">Q23*Inputs!$B$11</f>
        <v>304440.184132501</v>
      </c>
      <c r="T23" s="42" t="n">
        <f aca="false">O23-S23</f>
        <v>1217760.73653001</v>
      </c>
      <c r="U23" s="42" t="n">
        <f aca="false">U22+T23</f>
        <v>16434929.143937</v>
      </c>
      <c r="V23" s="44" t="n">
        <f aca="false">1/(1+Inputs!$B$10)^(A23/12)</f>
        <v>0.792203820923741</v>
      </c>
      <c r="W23" s="42" t="n">
        <f aca="false">T23*V23</f>
        <v>964714.708449979</v>
      </c>
      <c r="X23" s="42" t="n">
        <f aca="false">X22+W23</f>
        <v>13835531.3885656</v>
      </c>
      <c r="Y23" s="46" t="n">
        <f aca="false">IF(U23&gt;=0,A23,"")</f>
        <v>20</v>
      </c>
      <c r="Z23" s="46" t="n">
        <f aca="false">IF(X23&gt;=0,A23,"")</f>
        <v>20</v>
      </c>
    </row>
    <row r="24" customFormat="false" ht="15" hidden="false" customHeight="false" outlineLevel="0" collapsed="false">
      <c r="A24" s="39" t="n">
        <v>21</v>
      </c>
      <c r="B24" s="40" t="n">
        <f aca="false">EDATE(Inputs!$B$8,A24-1)</f>
        <v>46784</v>
      </c>
      <c r="C24" s="39" t="n">
        <f aca="false">ROUNDUP(A24/12,0)</f>
        <v>2</v>
      </c>
      <c r="D24" s="39" t="n">
        <f aca="false">MOD(A24-1,12)+1</f>
        <v>9</v>
      </c>
      <c r="E24" s="41" t="n">
        <f aca="false">IF(A24&lt;Inputs!$B$9,0,MIN(1,(A24-Inputs!$B$9+1)/Inputs!$I$32))</f>
        <v>1</v>
      </c>
      <c r="F24" s="42" t="n">
        <f aca="false">Inputs!$B$14*Inputs!$B$13*Inputs!$I$23</f>
        <v>280</v>
      </c>
      <c r="G24" s="42" t="n">
        <f aca="false">F24*Inputs!$B$12*E24</f>
        <v>1599920</v>
      </c>
      <c r="H24" s="42" t="n">
        <f aca="false">INDEX(Inputs!$I$26:$K$26,1,C24)</f>
        <v>6553387211.35725</v>
      </c>
      <c r="I24" s="43" t="n">
        <f aca="false">INDEX(Inputs!$I$27:$K$27,1,C24)</f>
        <v>0.07</v>
      </c>
      <c r="J24" s="42" t="n">
        <f aca="false">H24*Inputs!$B$18*I24/12*E24</f>
        <v>382280.920662506</v>
      </c>
      <c r="K24" s="42" t="n">
        <f aca="false">G24+J24</f>
        <v>1982200.92066251</v>
      </c>
      <c r="L24" s="42" t="n">
        <f aca="false">IF(A24=1,Inputs!$I$29,0)</f>
        <v>0</v>
      </c>
      <c r="M24" s="42" t="n">
        <f aca="false">IF(A24&gt;=Inputs!$B$9,INDEX(Inputs!$I$30:$K$30,1,C24),0)</f>
        <v>460000</v>
      </c>
      <c r="N24" s="42" t="n">
        <f aca="false">L24+M24</f>
        <v>460000</v>
      </c>
      <c r="O24" s="42" t="n">
        <f aca="false">K24-N24</f>
        <v>1522200.92066251</v>
      </c>
      <c r="P24" s="42" t="n">
        <f aca="false">R23</f>
        <v>0</v>
      </c>
      <c r="Q24" s="42" t="n">
        <f aca="false">MAX(O24-P24,0)</f>
        <v>1522200.92066251</v>
      </c>
      <c r="R24" s="42" t="n">
        <f aca="false">MAX(P24-O24,0)</f>
        <v>0</v>
      </c>
      <c r="S24" s="42" t="n">
        <f aca="false">Q24*Inputs!$B$11</f>
        <v>304440.184132501</v>
      </c>
      <c r="T24" s="42" t="n">
        <f aca="false">O24-S24</f>
        <v>1217760.73653001</v>
      </c>
      <c r="U24" s="42" t="n">
        <f aca="false">U23+T24</f>
        <v>17652689.8804671</v>
      </c>
      <c r="V24" s="44" t="n">
        <f aca="false">1/(1+Inputs!$B$10)^(A24/12)</f>
        <v>0.78303068154376</v>
      </c>
      <c r="W24" s="42" t="n">
        <f aca="false">T24*V24</f>
        <v>953544.019482321</v>
      </c>
      <c r="X24" s="42" t="n">
        <f aca="false">X23+W24</f>
        <v>14789075.4080479</v>
      </c>
      <c r="Y24" s="46" t="n">
        <f aca="false">IF(U24&gt;=0,A24,"")</f>
        <v>21</v>
      </c>
      <c r="Z24" s="46" t="n">
        <f aca="false">IF(X24&gt;=0,A24,"")</f>
        <v>21</v>
      </c>
    </row>
    <row r="25" customFormat="false" ht="15" hidden="false" customHeight="false" outlineLevel="0" collapsed="false">
      <c r="A25" s="39" t="n">
        <v>22</v>
      </c>
      <c r="B25" s="40" t="n">
        <f aca="false">EDATE(Inputs!$B$8,A25-1)</f>
        <v>46813</v>
      </c>
      <c r="C25" s="39" t="n">
        <f aca="false">ROUNDUP(A25/12,0)</f>
        <v>2</v>
      </c>
      <c r="D25" s="39" t="n">
        <f aca="false">MOD(A25-1,12)+1</f>
        <v>10</v>
      </c>
      <c r="E25" s="41" t="n">
        <f aca="false">IF(A25&lt;Inputs!$B$9,0,MIN(1,(A25-Inputs!$B$9+1)/Inputs!$I$32))</f>
        <v>1</v>
      </c>
      <c r="F25" s="42" t="n">
        <f aca="false">Inputs!$B$14*Inputs!$B$13*Inputs!$I$23</f>
        <v>280</v>
      </c>
      <c r="G25" s="42" t="n">
        <f aca="false">F25*Inputs!$B$12*E25</f>
        <v>1599920</v>
      </c>
      <c r="H25" s="42" t="n">
        <f aca="false">INDEX(Inputs!$I$26:$K$26,1,C25)</f>
        <v>6553387211.35725</v>
      </c>
      <c r="I25" s="43" t="n">
        <f aca="false">INDEX(Inputs!$I$27:$K$27,1,C25)</f>
        <v>0.07</v>
      </c>
      <c r="J25" s="42" t="n">
        <f aca="false">H25*Inputs!$B$18*I25/12*E25</f>
        <v>382280.920662506</v>
      </c>
      <c r="K25" s="42" t="n">
        <f aca="false">G25+J25</f>
        <v>1982200.92066251</v>
      </c>
      <c r="L25" s="42" t="n">
        <f aca="false">IF(A25=1,Inputs!$I$29,0)</f>
        <v>0</v>
      </c>
      <c r="M25" s="42" t="n">
        <f aca="false">IF(A25&gt;=Inputs!$B$9,INDEX(Inputs!$I$30:$K$30,1,C25),0)</f>
        <v>460000</v>
      </c>
      <c r="N25" s="42" t="n">
        <f aca="false">L25+M25</f>
        <v>460000</v>
      </c>
      <c r="O25" s="42" t="n">
        <f aca="false">K25-N25</f>
        <v>1522200.92066251</v>
      </c>
      <c r="P25" s="42" t="n">
        <f aca="false">R24</f>
        <v>0</v>
      </c>
      <c r="Q25" s="42" t="n">
        <f aca="false">MAX(O25-P25,0)</f>
        <v>1522200.92066251</v>
      </c>
      <c r="R25" s="42" t="n">
        <f aca="false">MAX(P25-O25,0)</f>
        <v>0</v>
      </c>
      <c r="S25" s="42" t="n">
        <f aca="false">Q25*Inputs!$B$11</f>
        <v>304440.184132501</v>
      </c>
      <c r="T25" s="42" t="n">
        <f aca="false">O25-S25</f>
        <v>1217760.73653001</v>
      </c>
      <c r="U25" s="42" t="n">
        <f aca="false">U24+T25</f>
        <v>18870450.6169971</v>
      </c>
      <c r="V25" s="44" t="n">
        <f aca="false">1/(1+Inputs!$B$10)^(A25/12)</f>
        <v>0.773963760391793</v>
      </c>
      <c r="W25" s="42" t="n">
        <f aca="false">T25*V25</f>
        <v>942502.678902242</v>
      </c>
      <c r="X25" s="42" t="n">
        <f aca="false">X24+W25</f>
        <v>15731578.0869502</v>
      </c>
      <c r="Y25" s="46" t="n">
        <f aca="false">IF(U25&gt;=0,A25,"")</f>
        <v>22</v>
      </c>
      <c r="Z25" s="46" t="n">
        <f aca="false">IF(X25&gt;=0,A25,"")</f>
        <v>22</v>
      </c>
    </row>
    <row r="26" customFormat="false" ht="15" hidden="false" customHeight="false" outlineLevel="0" collapsed="false">
      <c r="A26" s="39" t="n">
        <v>23</v>
      </c>
      <c r="B26" s="40" t="n">
        <f aca="false">EDATE(Inputs!$B$8,A26-1)</f>
        <v>46844</v>
      </c>
      <c r="C26" s="39" t="n">
        <f aca="false">ROUNDUP(A26/12,0)</f>
        <v>2</v>
      </c>
      <c r="D26" s="39" t="n">
        <f aca="false">MOD(A26-1,12)+1</f>
        <v>11</v>
      </c>
      <c r="E26" s="41" t="n">
        <f aca="false">IF(A26&lt;Inputs!$B$9,0,MIN(1,(A26-Inputs!$B$9+1)/Inputs!$I$32))</f>
        <v>1</v>
      </c>
      <c r="F26" s="42" t="n">
        <f aca="false">Inputs!$B$14*Inputs!$B$13*Inputs!$I$23</f>
        <v>280</v>
      </c>
      <c r="G26" s="42" t="n">
        <f aca="false">F26*Inputs!$B$12*E26</f>
        <v>1599920</v>
      </c>
      <c r="H26" s="42" t="n">
        <f aca="false">INDEX(Inputs!$I$26:$K$26,1,C26)</f>
        <v>6553387211.35725</v>
      </c>
      <c r="I26" s="43" t="n">
        <f aca="false">INDEX(Inputs!$I$27:$K$27,1,C26)</f>
        <v>0.07</v>
      </c>
      <c r="J26" s="42" t="n">
        <f aca="false">H26*Inputs!$B$18*I26/12*E26</f>
        <v>382280.920662506</v>
      </c>
      <c r="K26" s="42" t="n">
        <f aca="false">G26+J26</f>
        <v>1982200.92066251</v>
      </c>
      <c r="L26" s="42" t="n">
        <f aca="false">IF(A26=1,Inputs!$I$29,0)</f>
        <v>0</v>
      </c>
      <c r="M26" s="42" t="n">
        <f aca="false">IF(A26&gt;=Inputs!$B$9,INDEX(Inputs!$I$30:$K$30,1,C26),0)</f>
        <v>460000</v>
      </c>
      <c r="N26" s="42" t="n">
        <f aca="false">L26+M26</f>
        <v>460000</v>
      </c>
      <c r="O26" s="42" t="n">
        <f aca="false">K26-N26</f>
        <v>1522200.92066251</v>
      </c>
      <c r="P26" s="42" t="n">
        <f aca="false">R25</f>
        <v>0</v>
      </c>
      <c r="Q26" s="42" t="n">
        <f aca="false">MAX(O26-P26,0)</f>
        <v>1522200.92066251</v>
      </c>
      <c r="R26" s="42" t="n">
        <f aca="false">MAX(P26-O26,0)</f>
        <v>0</v>
      </c>
      <c r="S26" s="42" t="n">
        <f aca="false">Q26*Inputs!$B$11</f>
        <v>304440.184132501</v>
      </c>
      <c r="T26" s="42" t="n">
        <f aca="false">O26-S26</f>
        <v>1217760.73653001</v>
      </c>
      <c r="U26" s="42" t="n">
        <f aca="false">U25+T26</f>
        <v>20088211.3535271</v>
      </c>
      <c r="V26" s="44" t="n">
        <f aca="false">1/(1+Inputs!$B$10)^(A26/12)</f>
        <v>0.765001827538642</v>
      </c>
      <c r="W26" s="42" t="n">
        <f aca="false">T26*V26</f>
        <v>931589.188950256</v>
      </c>
      <c r="X26" s="42" t="n">
        <f aca="false">X25+W26</f>
        <v>16663167.2759004</v>
      </c>
      <c r="Y26" s="46" t="n">
        <f aca="false">IF(U26&gt;=0,A26,"")</f>
        <v>23</v>
      </c>
      <c r="Z26" s="46" t="n">
        <f aca="false">IF(X26&gt;=0,A26,"")</f>
        <v>23</v>
      </c>
    </row>
    <row r="27" customFormat="false" ht="15" hidden="false" customHeight="false" outlineLevel="0" collapsed="false">
      <c r="A27" s="39" t="n">
        <v>24</v>
      </c>
      <c r="B27" s="40" t="n">
        <f aca="false">EDATE(Inputs!$B$8,A27-1)</f>
        <v>46874</v>
      </c>
      <c r="C27" s="39" t="n">
        <f aca="false">ROUNDUP(A27/12,0)</f>
        <v>2</v>
      </c>
      <c r="D27" s="39" t="n">
        <f aca="false">MOD(A27-1,12)+1</f>
        <v>12</v>
      </c>
      <c r="E27" s="41" t="n">
        <f aca="false">IF(A27&lt;Inputs!$B$9,0,MIN(1,(A27-Inputs!$B$9+1)/Inputs!$I$32))</f>
        <v>1</v>
      </c>
      <c r="F27" s="42" t="n">
        <f aca="false">Inputs!$B$14*Inputs!$B$13*Inputs!$I$23</f>
        <v>280</v>
      </c>
      <c r="G27" s="42" t="n">
        <f aca="false">F27*Inputs!$B$12*E27</f>
        <v>1599920</v>
      </c>
      <c r="H27" s="42" t="n">
        <f aca="false">INDEX(Inputs!$I$26:$K$26,1,C27)</f>
        <v>6553387211.35725</v>
      </c>
      <c r="I27" s="43" t="n">
        <f aca="false">INDEX(Inputs!$I$27:$K$27,1,C27)</f>
        <v>0.07</v>
      </c>
      <c r="J27" s="42" t="n">
        <f aca="false">H27*Inputs!$B$18*I27/12*E27</f>
        <v>382280.920662506</v>
      </c>
      <c r="K27" s="42" t="n">
        <f aca="false">G27+J27</f>
        <v>1982200.92066251</v>
      </c>
      <c r="L27" s="42" t="n">
        <f aca="false">IF(A27=1,Inputs!$I$29,0)</f>
        <v>0</v>
      </c>
      <c r="M27" s="42" t="n">
        <f aca="false">IF(A27&gt;=Inputs!$B$9,INDEX(Inputs!$I$30:$K$30,1,C27),0)</f>
        <v>460000</v>
      </c>
      <c r="N27" s="42" t="n">
        <f aca="false">L27+M27</f>
        <v>460000</v>
      </c>
      <c r="O27" s="42" t="n">
        <f aca="false">K27-N27</f>
        <v>1522200.92066251</v>
      </c>
      <c r="P27" s="42" t="n">
        <f aca="false">R26</f>
        <v>0</v>
      </c>
      <c r="Q27" s="42" t="n">
        <f aca="false">MAX(O27-P27,0)</f>
        <v>1522200.92066251</v>
      </c>
      <c r="R27" s="42" t="n">
        <f aca="false">MAX(P27-O27,0)</f>
        <v>0</v>
      </c>
      <c r="S27" s="42" t="n">
        <f aca="false">Q27*Inputs!$B$11</f>
        <v>304440.184132501</v>
      </c>
      <c r="T27" s="42" t="n">
        <f aca="false">O27-S27</f>
        <v>1217760.73653001</v>
      </c>
      <c r="U27" s="42" t="n">
        <f aca="false">U26+T27</f>
        <v>21305972.0900571</v>
      </c>
      <c r="V27" s="44" t="n">
        <f aca="false">1/(1+Inputs!$B$10)^(A27/12)</f>
        <v>0.756143667296787</v>
      </c>
      <c r="W27" s="42" t="n">
        <f aca="false">T27*V27</f>
        <v>920802.069209834</v>
      </c>
      <c r="X27" s="42" t="n">
        <f aca="false">X26+W27</f>
        <v>17583969.3451103</v>
      </c>
      <c r="Y27" s="46" t="n">
        <f aca="false">IF(U27&gt;=0,A27,"")</f>
        <v>24</v>
      </c>
      <c r="Z27" s="46" t="n">
        <f aca="false">IF(X27&gt;=0,A27,"")</f>
        <v>24</v>
      </c>
    </row>
    <row r="28" customFormat="false" ht="15" hidden="false" customHeight="false" outlineLevel="0" collapsed="false">
      <c r="A28" s="39" t="n">
        <v>25</v>
      </c>
      <c r="B28" s="40" t="n">
        <f aca="false">EDATE(Inputs!$B$8,A28-1)</f>
        <v>46905</v>
      </c>
      <c r="C28" s="39" t="n">
        <f aca="false">ROUNDUP(A28/12,0)</f>
        <v>3</v>
      </c>
      <c r="D28" s="39" t="n">
        <f aca="false">MOD(A28-1,12)+1</f>
        <v>1</v>
      </c>
      <c r="E28" s="41" t="n">
        <f aca="false">IF(A28&lt;Inputs!$B$9,0,MIN(1,(A28-Inputs!$B$9+1)/Inputs!$I$32))</f>
        <v>1</v>
      </c>
      <c r="F28" s="42" t="n">
        <f aca="false">Inputs!$B$14*Inputs!$B$13*Inputs!$I$23</f>
        <v>280</v>
      </c>
      <c r="G28" s="42" t="n">
        <f aca="false">F28*Inputs!$B$12*E28</f>
        <v>1599920</v>
      </c>
      <c r="H28" s="42" t="n">
        <f aca="false">INDEX(Inputs!$I$26:$K$26,1,C28)</f>
        <v>10813088898.7395</v>
      </c>
      <c r="I28" s="43" t="n">
        <f aca="false">INDEX(Inputs!$I$27:$K$27,1,C28)</f>
        <v>0.07</v>
      </c>
      <c r="J28" s="42" t="n">
        <f aca="false">H28*Inputs!$B$18*I28/12*E28</f>
        <v>630763.519093135</v>
      </c>
      <c r="K28" s="42" t="n">
        <f aca="false">G28+J28</f>
        <v>2230683.51909314</v>
      </c>
      <c r="L28" s="42" t="n">
        <f aca="false">IF(A28=1,Inputs!$I$29,0)</f>
        <v>0</v>
      </c>
      <c r="M28" s="42" t="n">
        <f aca="false">IF(A28&gt;=Inputs!$B$9,INDEX(Inputs!$I$30:$K$30,1,C28),0)</f>
        <v>480000</v>
      </c>
      <c r="N28" s="42" t="n">
        <f aca="false">L28+M28</f>
        <v>480000</v>
      </c>
      <c r="O28" s="42" t="n">
        <f aca="false">K28-N28</f>
        <v>1750683.51909314</v>
      </c>
      <c r="P28" s="42" t="n">
        <f aca="false">R27</f>
        <v>0</v>
      </c>
      <c r="Q28" s="42" t="n">
        <f aca="false">MAX(O28-P28,0)</f>
        <v>1750683.51909314</v>
      </c>
      <c r="R28" s="42" t="n">
        <f aca="false">MAX(P28-O28,0)</f>
        <v>0</v>
      </c>
      <c r="S28" s="42" t="n">
        <f aca="false">Q28*Inputs!$B$11</f>
        <v>350136.703818627</v>
      </c>
      <c r="T28" s="42" t="n">
        <f aca="false">O28-S28</f>
        <v>1400546.81527451</v>
      </c>
      <c r="U28" s="42" t="n">
        <f aca="false">U27+T28</f>
        <v>22706518.9053316</v>
      </c>
      <c r="V28" s="44" t="n">
        <f aca="false">1/(1+Inputs!$B$10)^(A28/12)</f>
        <v>0.747388078055478</v>
      </c>
      <c r="W28" s="42" t="n">
        <f aca="false">T28*V28</f>
        <v>1046751.99249473</v>
      </c>
      <c r="X28" s="42" t="n">
        <f aca="false">X27+W28</f>
        <v>18630721.337605</v>
      </c>
      <c r="Y28" s="46" t="n">
        <f aca="false">IF(U28&gt;=0,A28,"")</f>
        <v>25</v>
      </c>
      <c r="Z28" s="46" t="n">
        <f aca="false">IF(X28&gt;=0,A28,"")</f>
        <v>25</v>
      </c>
    </row>
    <row r="29" customFormat="false" ht="15" hidden="false" customHeight="false" outlineLevel="0" collapsed="false">
      <c r="A29" s="39" t="n">
        <v>26</v>
      </c>
      <c r="B29" s="40" t="n">
        <f aca="false">EDATE(Inputs!$B$8,A29-1)</f>
        <v>46935</v>
      </c>
      <c r="C29" s="39" t="n">
        <f aca="false">ROUNDUP(A29/12,0)</f>
        <v>3</v>
      </c>
      <c r="D29" s="39" t="n">
        <f aca="false">MOD(A29-1,12)+1</f>
        <v>2</v>
      </c>
      <c r="E29" s="41" t="n">
        <f aca="false">IF(A29&lt;Inputs!$B$9,0,MIN(1,(A29-Inputs!$B$9+1)/Inputs!$I$32))</f>
        <v>1</v>
      </c>
      <c r="F29" s="42" t="n">
        <f aca="false">Inputs!$B$14*Inputs!$B$13*Inputs!$I$23</f>
        <v>280</v>
      </c>
      <c r="G29" s="42" t="n">
        <f aca="false">F29*Inputs!$B$12*E29</f>
        <v>1599920</v>
      </c>
      <c r="H29" s="42" t="n">
        <f aca="false">INDEX(Inputs!$I$26:$K$26,1,C29)</f>
        <v>10813088898.7395</v>
      </c>
      <c r="I29" s="43" t="n">
        <f aca="false">INDEX(Inputs!$I$27:$K$27,1,C29)</f>
        <v>0.07</v>
      </c>
      <c r="J29" s="42" t="n">
        <f aca="false">H29*Inputs!$B$18*I29/12*E29</f>
        <v>630763.519093135</v>
      </c>
      <c r="K29" s="42" t="n">
        <f aca="false">G29+J29</f>
        <v>2230683.51909314</v>
      </c>
      <c r="L29" s="42" t="n">
        <f aca="false">IF(A29=1,Inputs!$I$29,0)</f>
        <v>0</v>
      </c>
      <c r="M29" s="42" t="n">
        <f aca="false">IF(A29&gt;=Inputs!$B$9,INDEX(Inputs!$I$30:$K$30,1,C29),0)</f>
        <v>480000</v>
      </c>
      <c r="N29" s="42" t="n">
        <f aca="false">L29+M29</f>
        <v>480000</v>
      </c>
      <c r="O29" s="42" t="n">
        <f aca="false">K29-N29</f>
        <v>1750683.51909314</v>
      </c>
      <c r="P29" s="42" t="n">
        <f aca="false">R28</f>
        <v>0</v>
      </c>
      <c r="Q29" s="42" t="n">
        <f aca="false">MAX(O29-P29,0)</f>
        <v>1750683.51909314</v>
      </c>
      <c r="R29" s="42" t="n">
        <f aca="false">MAX(P29-O29,0)</f>
        <v>0</v>
      </c>
      <c r="S29" s="42" t="n">
        <f aca="false">Q29*Inputs!$B$11</f>
        <v>350136.703818627</v>
      </c>
      <c r="T29" s="42" t="n">
        <f aca="false">O29-S29</f>
        <v>1400546.81527451</v>
      </c>
      <c r="U29" s="42" t="n">
        <f aca="false">U28+T29</f>
        <v>24107065.7206061</v>
      </c>
      <c r="V29" s="44" t="n">
        <f aca="false">1/(1+Inputs!$B$10)^(A29/12)</f>
        <v>0.738733872117737</v>
      </c>
      <c r="W29" s="42" t="n">
        <f aca="false">T29*V29</f>
        <v>1034631.3719299</v>
      </c>
      <c r="X29" s="42" t="n">
        <f aca="false">X28+W29</f>
        <v>19665352.7095349</v>
      </c>
      <c r="Y29" s="46" t="n">
        <f aca="false">IF(U29&gt;=0,A29,"")</f>
        <v>26</v>
      </c>
      <c r="Z29" s="46" t="n">
        <f aca="false">IF(X29&gt;=0,A29,"")</f>
        <v>26</v>
      </c>
    </row>
    <row r="30" customFormat="false" ht="15" hidden="false" customHeight="false" outlineLevel="0" collapsed="false">
      <c r="A30" s="39" t="n">
        <v>27</v>
      </c>
      <c r="B30" s="40" t="n">
        <f aca="false">EDATE(Inputs!$B$8,A30-1)</f>
        <v>46966</v>
      </c>
      <c r="C30" s="39" t="n">
        <f aca="false">ROUNDUP(A30/12,0)</f>
        <v>3</v>
      </c>
      <c r="D30" s="39" t="n">
        <f aca="false">MOD(A30-1,12)+1</f>
        <v>3</v>
      </c>
      <c r="E30" s="41" t="n">
        <f aca="false">IF(A30&lt;Inputs!$B$9,0,MIN(1,(A30-Inputs!$B$9+1)/Inputs!$I$32))</f>
        <v>1</v>
      </c>
      <c r="F30" s="42" t="n">
        <f aca="false">Inputs!$B$14*Inputs!$B$13*Inputs!$I$23</f>
        <v>280</v>
      </c>
      <c r="G30" s="42" t="n">
        <f aca="false">F30*Inputs!$B$12*E30</f>
        <v>1599920</v>
      </c>
      <c r="H30" s="42" t="n">
        <f aca="false">INDEX(Inputs!$I$26:$K$26,1,C30)</f>
        <v>10813088898.7395</v>
      </c>
      <c r="I30" s="43" t="n">
        <f aca="false">INDEX(Inputs!$I$27:$K$27,1,C30)</f>
        <v>0.07</v>
      </c>
      <c r="J30" s="42" t="n">
        <f aca="false">H30*Inputs!$B$18*I30/12*E30</f>
        <v>630763.519093135</v>
      </c>
      <c r="K30" s="42" t="n">
        <f aca="false">G30+J30</f>
        <v>2230683.51909314</v>
      </c>
      <c r="L30" s="42" t="n">
        <f aca="false">IF(A30=1,Inputs!$I$29,0)</f>
        <v>0</v>
      </c>
      <c r="M30" s="42" t="n">
        <f aca="false">IF(A30&gt;=Inputs!$B$9,INDEX(Inputs!$I$30:$K$30,1,C30),0)</f>
        <v>480000</v>
      </c>
      <c r="N30" s="42" t="n">
        <f aca="false">L30+M30</f>
        <v>480000</v>
      </c>
      <c r="O30" s="42" t="n">
        <f aca="false">K30-N30</f>
        <v>1750683.51909314</v>
      </c>
      <c r="P30" s="42" t="n">
        <f aca="false">R29</f>
        <v>0</v>
      </c>
      <c r="Q30" s="42" t="n">
        <f aca="false">MAX(O30-P30,0)</f>
        <v>1750683.51909314</v>
      </c>
      <c r="R30" s="42" t="n">
        <f aca="false">MAX(P30-O30,0)</f>
        <v>0</v>
      </c>
      <c r="S30" s="42" t="n">
        <f aca="false">Q30*Inputs!$B$11</f>
        <v>350136.703818627</v>
      </c>
      <c r="T30" s="42" t="n">
        <f aca="false">O30-S30</f>
        <v>1400546.81527451</v>
      </c>
      <c r="U30" s="42" t="n">
        <f aca="false">U29+T30</f>
        <v>25507612.5358806</v>
      </c>
      <c r="V30" s="44" t="n">
        <f aca="false">1/(1+Inputs!$B$10)^(A30/12)</f>
        <v>0.730179875539246</v>
      </c>
      <c r="W30" s="42" t="n">
        <f aca="false">T30*V30</f>
        <v>1022651.09926403</v>
      </c>
      <c r="X30" s="42" t="n">
        <f aca="false">X29+W30</f>
        <v>20688003.8087989</v>
      </c>
      <c r="Y30" s="46" t="n">
        <f aca="false">IF(U30&gt;=0,A30,"")</f>
        <v>27</v>
      </c>
      <c r="Z30" s="46" t="n">
        <f aca="false">IF(X30&gt;=0,A30,"")</f>
        <v>27</v>
      </c>
    </row>
    <row r="31" customFormat="false" ht="15" hidden="false" customHeight="false" outlineLevel="0" collapsed="false">
      <c r="A31" s="39" t="n">
        <v>28</v>
      </c>
      <c r="B31" s="40" t="n">
        <f aca="false">EDATE(Inputs!$B$8,A31-1)</f>
        <v>46997</v>
      </c>
      <c r="C31" s="39" t="n">
        <f aca="false">ROUNDUP(A31/12,0)</f>
        <v>3</v>
      </c>
      <c r="D31" s="39" t="n">
        <f aca="false">MOD(A31-1,12)+1</f>
        <v>4</v>
      </c>
      <c r="E31" s="41" t="n">
        <f aca="false">IF(A31&lt;Inputs!$B$9,0,MIN(1,(A31-Inputs!$B$9+1)/Inputs!$I$32))</f>
        <v>1</v>
      </c>
      <c r="F31" s="42" t="n">
        <f aca="false">Inputs!$B$14*Inputs!$B$13*Inputs!$I$23</f>
        <v>280</v>
      </c>
      <c r="G31" s="42" t="n">
        <f aca="false">F31*Inputs!$B$12*E31</f>
        <v>1599920</v>
      </c>
      <c r="H31" s="42" t="n">
        <f aca="false">INDEX(Inputs!$I$26:$K$26,1,C31)</f>
        <v>10813088898.7395</v>
      </c>
      <c r="I31" s="43" t="n">
        <f aca="false">INDEX(Inputs!$I$27:$K$27,1,C31)</f>
        <v>0.07</v>
      </c>
      <c r="J31" s="42" t="n">
        <f aca="false">H31*Inputs!$B$18*I31/12*E31</f>
        <v>630763.519093135</v>
      </c>
      <c r="K31" s="42" t="n">
        <f aca="false">G31+J31</f>
        <v>2230683.51909314</v>
      </c>
      <c r="L31" s="42" t="n">
        <f aca="false">IF(A31=1,Inputs!$I$29,0)</f>
        <v>0</v>
      </c>
      <c r="M31" s="42" t="n">
        <f aca="false">IF(A31&gt;=Inputs!$B$9,INDEX(Inputs!$I$30:$K$30,1,C31),0)</f>
        <v>480000</v>
      </c>
      <c r="N31" s="42" t="n">
        <f aca="false">L31+M31</f>
        <v>480000</v>
      </c>
      <c r="O31" s="42" t="n">
        <f aca="false">K31-N31</f>
        <v>1750683.51909314</v>
      </c>
      <c r="P31" s="42" t="n">
        <f aca="false">R30</f>
        <v>0</v>
      </c>
      <c r="Q31" s="42" t="n">
        <f aca="false">MAX(O31-P31,0)</f>
        <v>1750683.51909314</v>
      </c>
      <c r="R31" s="42" t="n">
        <f aca="false">MAX(P31-O31,0)</f>
        <v>0</v>
      </c>
      <c r="S31" s="42" t="n">
        <f aca="false">Q31*Inputs!$B$11</f>
        <v>350136.703818627</v>
      </c>
      <c r="T31" s="42" t="n">
        <f aca="false">O31-S31</f>
        <v>1400546.81527451</v>
      </c>
      <c r="U31" s="42" t="n">
        <f aca="false">U30+T31</f>
        <v>26908159.3511551</v>
      </c>
      <c r="V31" s="44" t="n">
        <f aca="false">1/(1+Inputs!$B$10)^(A31/12)</f>
        <v>0.721724927969101</v>
      </c>
      <c r="W31" s="42" t="n">
        <f aca="false">T31*V31</f>
        <v>1010809.54937135</v>
      </c>
      <c r="X31" s="42" t="n">
        <f aca="false">X30+W31</f>
        <v>21698813.3581703</v>
      </c>
      <c r="Y31" s="46" t="n">
        <f aca="false">IF(U31&gt;=0,A31,"")</f>
        <v>28</v>
      </c>
      <c r="Z31" s="46" t="n">
        <f aca="false">IF(X31&gt;=0,A31,"")</f>
        <v>28</v>
      </c>
    </row>
    <row r="32" customFormat="false" ht="15" hidden="false" customHeight="false" outlineLevel="0" collapsed="false">
      <c r="A32" s="39" t="n">
        <v>29</v>
      </c>
      <c r="B32" s="40" t="n">
        <f aca="false">EDATE(Inputs!$B$8,A32-1)</f>
        <v>47027</v>
      </c>
      <c r="C32" s="39" t="n">
        <f aca="false">ROUNDUP(A32/12,0)</f>
        <v>3</v>
      </c>
      <c r="D32" s="39" t="n">
        <f aca="false">MOD(A32-1,12)+1</f>
        <v>5</v>
      </c>
      <c r="E32" s="41" t="n">
        <f aca="false">IF(A32&lt;Inputs!$B$9,0,MIN(1,(A32-Inputs!$B$9+1)/Inputs!$I$32))</f>
        <v>1</v>
      </c>
      <c r="F32" s="42" t="n">
        <f aca="false">Inputs!$B$14*Inputs!$B$13*Inputs!$I$23</f>
        <v>280</v>
      </c>
      <c r="G32" s="42" t="n">
        <f aca="false">F32*Inputs!$B$12*E32</f>
        <v>1599920</v>
      </c>
      <c r="H32" s="42" t="n">
        <f aca="false">INDEX(Inputs!$I$26:$K$26,1,C32)</f>
        <v>10813088898.7395</v>
      </c>
      <c r="I32" s="43" t="n">
        <f aca="false">INDEX(Inputs!$I$27:$K$27,1,C32)</f>
        <v>0.07</v>
      </c>
      <c r="J32" s="42" t="n">
        <f aca="false">H32*Inputs!$B$18*I32/12*E32</f>
        <v>630763.519093135</v>
      </c>
      <c r="K32" s="42" t="n">
        <f aca="false">G32+J32</f>
        <v>2230683.51909314</v>
      </c>
      <c r="L32" s="42" t="n">
        <f aca="false">IF(A32=1,Inputs!$I$29,0)</f>
        <v>0</v>
      </c>
      <c r="M32" s="42" t="n">
        <f aca="false">IF(A32&gt;=Inputs!$B$9,INDEX(Inputs!$I$30:$K$30,1,C32),0)</f>
        <v>480000</v>
      </c>
      <c r="N32" s="42" t="n">
        <f aca="false">L32+M32</f>
        <v>480000</v>
      </c>
      <c r="O32" s="42" t="n">
        <f aca="false">K32-N32</f>
        <v>1750683.51909314</v>
      </c>
      <c r="P32" s="42" t="n">
        <f aca="false">R31</f>
        <v>0</v>
      </c>
      <c r="Q32" s="42" t="n">
        <f aca="false">MAX(O32-P32,0)</f>
        <v>1750683.51909314</v>
      </c>
      <c r="R32" s="42" t="n">
        <f aca="false">MAX(P32-O32,0)</f>
        <v>0</v>
      </c>
      <c r="S32" s="42" t="n">
        <f aca="false">Q32*Inputs!$B$11</f>
        <v>350136.703818627</v>
      </c>
      <c r="T32" s="42" t="n">
        <f aca="false">O32-S32</f>
        <v>1400546.81527451</v>
      </c>
      <c r="U32" s="42" t="n">
        <f aca="false">U31+T32</f>
        <v>28308706.1664296</v>
      </c>
      <c r="V32" s="44" t="n">
        <f aca="false">1/(1+Inputs!$B$10)^(A32/12)</f>
        <v>0.713367882492411</v>
      </c>
      <c r="W32" s="42" t="n">
        <f aca="false">T32*V32</f>
        <v>999105.115943865</v>
      </c>
      <c r="X32" s="42" t="n">
        <f aca="false">X31+W32</f>
        <v>22697918.4741141</v>
      </c>
      <c r="Y32" s="46" t="n">
        <f aca="false">IF(U32&gt;=0,A32,"")</f>
        <v>29</v>
      </c>
      <c r="Z32" s="46" t="n">
        <f aca="false">IF(X32&gt;=0,A32,"")</f>
        <v>29</v>
      </c>
    </row>
    <row r="33" customFormat="false" ht="15" hidden="false" customHeight="false" outlineLevel="0" collapsed="false">
      <c r="A33" s="39" t="n">
        <v>30</v>
      </c>
      <c r="B33" s="40" t="n">
        <f aca="false">EDATE(Inputs!$B$8,A33-1)</f>
        <v>47058</v>
      </c>
      <c r="C33" s="39" t="n">
        <f aca="false">ROUNDUP(A33/12,0)</f>
        <v>3</v>
      </c>
      <c r="D33" s="39" t="n">
        <f aca="false">MOD(A33-1,12)+1</f>
        <v>6</v>
      </c>
      <c r="E33" s="41" t="n">
        <f aca="false">IF(A33&lt;Inputs!$B$9,0,MIN(1,(A33-Inputs!$B$9+1)/Inputs!$I$32))</f>
        <v>1</v>
      </c>
      <c r="F33" s="42" t="n">
        <f aca="false">Inputs!$B$14*Inputs!$B$13*Inputs!$I$23</f>
        <v>280</v>
      </c>
      <c r="G33" s="42" t="n">
        <f aca="false">F33*Inputs!$B$12*E33</f>
        <v>1599920</v>
      </c>
      <c r="H33" s="42" t="n">
        <f aca="false">INDEX(Inputs!$I$26:$K$26,1,C33)</f>
        <v>10813088898.7395</v>
      </c>
      <c r="I33" s="43" t="n">
        <f aca="false">INDEX(Inputs!$I$27:$K$27,1,C33)</f>
        <v>0.07</v>
      </c>
      <c r="J33" s="42" t="n">
        <f aca="false">H33*Inputs!$B$18*I33/12*E33</f>
        <v>630763.519093135</v>
      </c>
      <c r="K33" s="42" t="n">
        <f aca="false">G33+J33</f>
        <v>2230683.51909314</v>
      </c>
      <c r="L33" s="42" t="n">
        <f aca="false">IF(A33=1,Inputs!$I$29,0)</f>
        <v>0</v>
      </c>
      <c r="M33" s="42" t="n">
        <f aca="false">IF(A33&gt;=Inputs!$B$9,INDEX(Inputs!$I$30:$K$30,1,C33),0)</f>
        <v>480000</v>
      </c>
      <c r="N33" s="42" t="n">
        <f aca="false">L33+M33</f>
        <v>480000</v>
      </c>
      <c r="O33" s="42" t="n">
        <f aca="false">K33-N33</f>
        <v>1750683.51909314</v>
      </c>
      <c r="P33" s="42" t="n">
        <f aca="false">R32</f>
        <v>0</v>
      </c>
      <c r="Q33" s="42" t="n">
        <f aca="false">MAX(O33-P33,0)</f>
        <v>1750683.51909314</v>
      </c>
      <c r="R33" s="42" t="n">
        <f aca="false">MAX(P33-O33,0)</f>
        <v>0</v>
      </c>
      <c r="S33" s="42" t="n">
        <f aca="false">Q33*Inputs!$B$11</f>
        <v>350136.703818627</v>
      </c>
      <c r="T33" s="42" t="n">
        <f aca="false">O33-S33</f>
        <v>1400546.81527451</v>
      </c>
      <c r="U33" s="42" t="n">
        <f aca="false">U32+T33</f>
        <v>29709252.9817041</v>
      </c>
      <c r="V33" s="44" t="n">
        <f aca="false">1/(1+Inputs!$B$10)^(A33/12)</f>
        <v>0.705107605474718</v>
      </c>
      <c r="W33" s="42" t="n">
        <f aca="false">T33*V33</f>
        <v>987536.21127345</v>
      </c>
      <c r="X33" s="42" t="n">
        <f aca="false">X32+W33</f>
        <v>23685454.6853876</v>
      </c>
      <c r="Y33" s="46" t="n">
        <f aca="false">IF(U33&gt;=0,A33,"")</f>
        <v>30</v>
      </c>
      <c r="Z33" s="46" t="n">
        <f aca="false">IF(X33&gt;=0,A33,"")</f>
        <v>30</v>
      </c>
    </row>
    <row r="34" customFormat="false" ht="15" hidden="false" customHeight="false" outlineLevel="0" collapsed="false">
      <c r="A34" s="39" t="n">
        <v>31</v>
      </c>
      <c r="B34" s="40" t="n">
        <f aca="false">EDATE(Inputs!$B$8,A34-1)</f>
        <v>47088</v>
      </c>
      <c r="C34" s="39" t="n">
        <f aca="false">ROUNDUP(A34/12,0)</f>
        <v>3</v>
      </c>
      <c r="D34" s="39" t="n">
        <f aca="false">MOD(A34-1,12)+1</f>
        <v>7</v>
      </c>
      <c r="E34" s="41" t="n">
        <f aca="false">IF(A34&lt;Inputs!$B$9,0,MIN(1,(A34-Inputs!$B$9+1)/Inputs!$I$32))</f>
        <v>1</v>
      </c>
      <c r="F34" s="42" t="n">
        <f aca="false">Inputs!$B$14*Inputs!$B$13*Inputs!$I$23</f>
        <v>280</v>
      </c>
      <c r="G34" s="42" t="n">
        <f aca="false">F34*Inputs!$B$12*E34</f>
        <v>1599920</v>
      </c>
      <c r="H34" s="42" t="n">
        <f aca="false">INDEX(Inputs!$I$26:$K$26,1,C34)</f>
        <v>10813088898.7395</v>
      </c>
      <c r="I34" s="43" t="n">
        <f aca="false">INDEX(Inputs!$I$27:$K$27,1,C34)</f>
        <v>0.07</v>
      </c>
      <c r="J34" s="42" t="n">
        <f aca="false">H34*Inputs!$B$18*I34/12*E34</f>
        <v>630763.519093135</v>
      </c>
      <c r="K34" s="42" t="n">
        <f aca="false">G34+J34</f>
        <v>2230683.51909314</v>
      </c>
      <c r="L34" s="42" t="n">
        <f aca="false">IF(A34=1,Inputs!$I$29,0)</f>
        <v>0</v>
      </c>
      <c r="M34" s="42" t="n">
        <f aca="false">IF(A34&gt;=Inputs!$B$9,INDEX(Inputs!$I$30:$K$30,1,C34),0)</f>
        <v>480000</v>
      </c>
      <c r="N34" s="42" t="n">
        <f aca="false">L34+M34</f>
        <v>480000</v>
      </c>
      <c r="O34" s="42" t="n">
        <f aca="false">K34-N34</f>
        <v>1750683.51909314</v>
      </c>
      <c r="P34" s="42" t="n">
        <f aca="false">R33</f>
        <v>0</v>
      </c>
      <c r="Q34" s="42" t="n">
        <f aca="false">MAX(O34-P34,0)</f>
        <v>1750683.51909314</v>
      </c>
      <c r="R34" s="42" t="n">
        <f aca="false">MAX(P34-O34,0)</f>
        <v>0</v>
      </c>
      <c r="S34" s="42" t="n">
        <f aca="false">Q34*Inputs!$B$11</f>
        <v>350136.703818627</v>
      </c>
      <c r="T34" s="42" t="n">
        <f aca="false">O34-S34</f>
        <v>1400546.81527451</v>
      </c>
      <c r="U34" s="42" t="n">
        <f aca="false">U33+T34</f>
        <v>31109799.7969786</v>
      </c>
      <c r="V34" s="44" t="n">
        <f aca="false">1/(1+Inputs!$B$10)^(A34/12)</f>
        <v>0.69694297640822</v>
      </c>
      <c r="W34" s="42" t="n">
        <f aca="false">T34*V34</f>
        <v>976101.266036469</v>
      </c>
      <c r="X34" s="42" t="n">
        <f aca="false">X33+W34</f>
        <v>24661555.9514241</v>
      </c>
      <c r="Y34" s="46" t="n">
        <f aca="false">IF(U34&gt;=0,A34,"")</f>
        <v>31</v>
      </c>
      <c r="Z34" s="46" t="n">
        <f aca="false">IF(X34&gt;=0,A34,"")</f>
        <v>31</v>
      </c>
    </row>
    <row r="35" customFormat="false" ht="15" hidden="false" customHeight="false" outlineLevel="0" collapsed="false">
      <c r="A35" s="39" t="n">
        <v>32</v>
      </c>
      <c r="B35" s="40" t="n">
        <f aca="false">EDATE(Inputs!$B$8,A35-1)</f>
        <v>47119</v>
      </c>
      <c r="C35" s="39" t="n">
        <f aca="false">ROUNDUP(A35/12,0)</f>
        <v>3</v>
      </c>
      <c r="D35" s="39" t="n">
        <f aca="false">MOD(A35-1,12)+1</f>
        <v>8</v>
      </c>
      <c r="E35" s="41" t="n">
        <f aca="false">IF(A35&lt;Inputs!$B$9,0,MIN(1,(A35-Inputs!$B$9+1)/Inputs!$I$32))</f>
        <v>1</v>
      </c>
      <c r="F35" s="42" t="n">
        <f aca="false">Inputs!$B$14*Inputs!$B$13*Inputs!$I$23</f>
        <v>280</v>
      </c>
      <c r="G35" s="42" t="n">
        <f aca="false">F35*Inputs!$B$12*E35</f>
        <v>1599920</v>
      </c>
      <c r="H35" s="42" t="n">
        <f aca="false">INDEX(Inputs!$I$26:$K$26,1,C35)</f>
        <v>10813088898.7395</v>
      </c>
      <c r="I35" s="43" t="n">
        <f aca="false">INDEX(Inputs!$I$27:$K$27,1,C35)</f>
        <v>0.07</v>
      </c>
      <c r="J35" s="42" t="n">
        <f aca="false">H35*Inputs!$B$18*I35/12*E35</f>
        <v>630763.519093135</v>
      </c>
      <c r="K35" s="42" t="n">
        <f aca="false">G35+J35</f>
        <v>2230683.51909314</v>
      </c>
      <c r="L35" s="42" t="n">
        <f aca="false">IF(A35=1,Inputs!$I$29,0)</f>
        <v>0</v>
      </c>
      <c r="M35" s="42" t="n">
        <f aca="false">IF(A35&gt;=Inputs!$B$9,INDEX(Inputs!$I$30:$K$30,1,C35),0)</f>
        <v>480000</v>
      </c>
      <c r="N35" s="42" t="n">
        <f aca="false">L35+M35</f>
        <v>480000</v>
      </c>
      <c r="O35" s="42" t="n">
        <f aca="false">K35-N35</f>
        <v>1750683.51909314</v>
      </c>
      <c r="P35" s="42" t="n">
        <f aca="false">R34</f>
        <v>0</v>
      </c>
      <c r="Q35" s="42" t="n">
        <f aca="false">MAX(O35-P35,0)</f>
        <v>1750683.51909314</v>
      </c>
      <c r="R35" s="42" t="n">
        <f aca="false">MAX(P35-O35,0)</f>
        <v>0</v>
      </c>
      <c r="S35" s="42" t="n">
        <f aca="false">Q35*Inputs!$B$11</f>
        <v>350136.703818627</v>
      </c>
      <c r="T35" s="42" t="n">
        <f aca="false">O35-S35</f>
        <v>1400546.81527451</v>
      </c>
      <c r="U35" s="42" t="n">
        <f aca="false">U34+T35</f>
        <v>32510346.6122531</v>
      </c>
      <c r="V35" s="44" t="n">
        <f aca="false">1/(1+Inputs!$B$10)^(A35/12)</f>
        <v>0.688872887759775</v>
      </c>
      <c r="W35" s="42" t="n">
        <f aca="false">T35*V35</f>
        <v>964798.729080906</v>
      </c>
      <c r="X35" s="42" t="n">
        <f aca="false">X34+W35</f>
        <v>25626354.680505</v>
      </c>
      <c r="Y35" s="46" t="n">
        <f aca="false">IF(U35&gt;=0,A35,"")</f>
        <v>32</v>
      </c>
      <c r="Z35" s="46" t="n">
        <f aca="false">IF(X35&gt;=0,A35,"")</f>
        <v>32</v>
      </c>
    </row>
    <row r="36" customFormat="false" ht="15" hidden="false" customHeight="false" outlineLevel="0" collapsed="false">
      <c r="A36" s="39" t="n">
        <v>33</v>
      </c>
      <c r="B36" s="40" t="n">
        <f aca="false">EDATE(Inputs!$B$8,A36-1)</f>
        <v>47150</v>
      </c>
      <c r="C36" s="39" t="n">
        <f aca="false">ROUNDUP(A36/12,0)</f>
        <v>3</v>
      </c>
      <c r="D36" s="39" t="n">
        <f aca="false">MOD(A36-1,12)+1</f>
        <v>9</v>
      </c>
      <c r="E36" s="41" t="n">
        <f aca="false">IF(A36&lt;Inputs!$B$9,0,MIN(1,(A36-Inputs!$B$9+1)/Inputs!$I$32))</f>
        <v>1</v>
      </c>
      <c r="F36" s="42" t="n">
        <f aca="false">Inputs!$B$14*Inputs!$B$13*Inputs!$I$23</f>
        <v>280</v>
      </c>
      <c r="G36" s="42" t="n">
        <f aca="false">F36*Inputs!$B$12*E36</f>
        <v>1599920</v>
      </c>
      <c r="H36" s="42" t="n">
        <f aca="false">INDEX(Inputs!$I$26:$K$26,1,C36)</f>
        <v>10813088898.7395</v>
      </c>
      <c r="I36" s="43" t="n">
        <f aca="false">INDEX(Inputs!$I$27:$K$27,1,C36)</f>
        <v>0.07</v>
      </c>
      <c r="J36" s="42" t="n">
        <f aca="false">H36*Inputs!$B$18*I36/12*E36</f>
        <v>630763.519093135</v>
      </c>
      <c r="K36" s="42" t="n">
        <f aca="false">G36+J36</f>
        <v>2230683.51909314</v>
      </c>
      <c r="L36" s="42" t="n">
        <f aca="false">IF(A36=1,Inputs!$I$29,0)</f>
        <v>0</v>
      </c>
      <c r="M36" s="42" t="n">
        <f aca="false">IF(A36&gt;=Inputs!$B$9,INDEX(Inputs!$I$30:$K$30,1,C36),0)</f>
        <v>480000</v>
      </c>
      <c r="N36" s="42" t="n">
        <f aca="false">L36+M36</f>
        <v>480000</v>
      </c>
      <c r="O36" s="42" t="n">
        <f aca="false">K36-N36</f>
        <v>1750683.51909314</v>
      </c>
      <c r="P36" s="42" t="n">
        <f aca="false">R35</f>
        <v>0</v>
      </c>
      <c r="Q36" s="42" t="n">
        <f aca="false">MAX(O36-P36,0)</f>
        <v>1750683.51909314</v>
      </c>
      <c r="R36" s="42" t="n">
        <f aca="false">MAX(P36-O36,0)</f>
        <v>0</v>
      </c>
      <c r="S36" s="42" t="n">
        <f aca="false">Q36*Inputs!$B$11</f>
        <v>350136.703818627</v>
      </c>
      <c r="T36" s="42" t="n">
        <f aca="false">O36-S36</f>
        <v>1400546.81527451</v>
      </c>
      <c r="U36" s="42" t="n">
        <f aca="false">U35+T36</f>
        <v>33910893.4275276</v>
      </c>
      <c r="V36" s="44" t="n">
        <f aca="false">1/(1+Inputs!$B$10)^(A36/12)</f>
        <v>0.680896244820661</v>
      </c>
      <c r="W36" s="42" t="n">
        <f aca="false">T36*V36</f>
        <v>953627.067215948</v>
      </c>
      <c r="X36" s="42" t="n">
        <f aca="false">X35+W36</f>
        <v>26579981.7477209</v>
      </c>
      <c r="Y36" s="46" t="n">
        <f aca="false">IF(U36&gt;=0,A36,"")</f>
        <v>33</v>
      </c>
      <c r="Z36" s="46" t="n">
        <f aca="false">IF(X36&gt;=0,A36,"")</f>
        <v>33</v>
      </c>
    </row>
    <row r="37" customFormat="false" ht="15" hidden="false" customHeight="false" outlineLevel="0" collapsed="false">
      <c r="A37" s="39" t="n">
        <v>34</v>
      </c>
      <c r="B37" s="40" t="n">
        <f aca="false">EDATE(Inputs!$B$8,A37-1)</f>
        <v>47178</v>
      </c>
      <c r="C37" s="39" t="n">
        <f aca="false">ROUNDUP(A37/12,0)</f>
        <v>3</v>
      </c>
      <c r="D37" s="39" t="n">
        <f aca="false">MOD(A37-1,12)+1</f>
        <v>10</v>
      </c>
      <c r="E37" s="41" t="n">
        <f aca="false">IF(A37&lt;Inputs!$B$9,0,MIN(1,(A37-Inputs!$B$9+1)/Inputs!$I$32))</f>
        <v>1</v>
      </c>
      <c r="F37" s="42" t="n">
        <f aca="false">Inputs!$B$14*Inputs!$B$13*Inputs!$I$23</f>
        <v>280</v>
      </c>
      <c r="G37" s="42" t="n">
        <f aca="false">F37*Inputs!$B$12*E37</f>
        <v>1599920</v>
      </c>
      <c r="H37" s="42" t="n">
        <f aca="false">INDEX(Inputs!$I$26:$K$26,1,C37)</f>
        <v>10813088898.7395</v>
      </c>
      <c r="I37" s="43" t="n">
        <f aca="false">INDEX(Inputs!$I$27:$K$27,1,C37)</f>
        <v>0.07</v>
      </c>
      <c r="J37" s="42" t="n">
        <f aca="false">H37*Inputs!$B$18*I37/12*E37</f>
        <v>630763.519093135</v>
      </c>
      <c r="K37" s="42" t="n">
        <f aca="false">G37+J37</f>
        <v>2230683.51909314</v>
      </c>
      <c r="L37" s="42" t="n">
        <f aca="false">IF(A37=1,Inputs!$I$29,0)</f>
        <v>0</v>
      </c>
      <c r="M37" s="42" t="n">
        <f aca="false">IF(A37&gt;=Inputs!$B$9,INDEX(Inputs!$I$30:$K$30,1,C37),0)</f>
        <v>480000</v>
      </c>
      <c r="N37" s="42" t="n">
        <f aca="false">L37+M37</f>
        <v>480000</v>
      </c>
      <c r="O37" s="42" t="n">
        <f aca="false">K37-N37</f>
        <v>1750683.51909314</v>
      </c>
      <c r="P37" s="42" t="n">
        <f aca="false">R36</f>
        <v>0</v>
      </c>
      <c r="Q37" s="42" t="n">
        <f aca="false">MAX(O37-P37,0)</f>
        <v>1750683.51909314</v>
      </c>
      <c r="R37" s="42" t="n">
        <f aca="false">MAX(P37-O37,0)</f>
        <v>0</v>
      </c>
      <c r="S37" s="42" t="n">
        <f aca="false">Q37*Inputs!$B$11</f>
        <v>350136.703818627</v>
      </c>
      <c r="T37" s="42" t="n">
        <f aca="false">O37-S37</f>
        <v>1400546.81527451</v>
      </c>
      <c r="U37" s="42" t="n">
        <f aca="false">U36+T37</f>
        <v>35311440.2428021</v>
      </c>
      <c r="V37" s="44" t="n">
        <f aca="false">1/(1+Inputs!$B$10)^(A37/12)</f>
        <v>0.673011965558081</v>
      </c>
      <c r="W37" s="42" t="n">
        <f aca="false">T37*V37</f>
        <v>942584.765004007</v>
      </c>
      <c r="X37" s="42" t="n">
        <f aca="false">X36+W37</f>
        <v>27522566.5127249</v>
      </c>
      <c r="Y37" s="46" t="n">
        <f aca="false">IF(U37&gt;=0,A37,"")</f>
        <v>34</v>
      </c>
      <c r="Z37" s="46" t="n">
        <f aca="false">IF(X37&gt;=0,A37,"")</f>
        <v>34</v>
      </c>
    </row>
    <row r="38" customFormat="false" ht="15" hidden="false" customHeight="false" outlineLevel="0" collapsed="false">
      <c r="A38" s="39" t="n">
        <v>35</v>
      </c>
      <c r="B38" s="40" t="n">
        <f aca="false">EDATE(Inputs!$B$8,A38-1)</f>
        <v>47209</v>
      </c>
      <c r="C38" s="39" t="n">
        <f aca="false">ROUNDUP(A38/12,0)</f>
        <v>3</v>
      </c>
      <c r="D38" s="39" t="n">
        <f aca="false">MOD(A38-1,12)+1</f>
        <v>11</v>
      </c>
      <c r="E38" s="41" t="n">
        <f aca="false">IF(A38&lt;Inputs!$B$9,0,MIN(1,(A38-Inputs!$B$9+1)/Inputs!$I$32))</f>
        <v>1</v>
      </c>
      <c r="F38" s="42" t="n">
        <f aca="false">Inputs!$B$14*Inputs!$B$13*Inputs!$I$23</f>
        <v>280</v>
      </c>
      <c r="G38" s="42" t="n">
        <f aca="false">F38*Inputs!$B$12*E38</f>
        <v>1599920</v>
      </c>
      <c r="H38" s="42" t="n">
        <f aca="false">INDEX(Inputs!$I$26:$K$26,1,C38)</f>
        <v>10813088898.7395</v>
      </c>
      <c r="I38" s="43" t="n">
        <f aca="false">INDEX(Inputs!$I$27:$K$27,1,C38)</f>
        <v>0.07</v>
      </c>
      <c r="J38" s="42" t="n">
        <f aca="false">H38*Inputs!$B$18*I38/12*E38</f>
        <v>630763.519093135</v>
      </c>
      <c r="K38" s="42" t="n">
        <f aca="false">G38+J38</f>
        <v>2230683.51909314</v>
      </c>
      <c r="L38" s="42" t="n">
        <f aca="false">IF(A38=1,Inputs!$I$29,0)</f>
        <v>0</v>
      </c>
      <c r="M38" s="42" t="n">
        <f aca="false">IF(A38&gt;=Inputs!$B$9,INDEX(Inputs!$I$30:$K$30,1,C38),0)</f>
        <v>480000</v>
      </c>
      <c r="N38" s="42" t="n">
        <f aca="false">L38+M38</f>
        <v>480000</v>
      </c>
      <c r="O38" s="42" t="n">
        <f aca="false">K38-N38</f>
        <v>1750683.51909314</v>
      </c>
      <c r="P38" s="42" t="n">
        <f aca="false">R37</f>
        <v>0</v>
      </c>
      <c r="Q38" s="42" t="n">
        <f aca="false">MAX(O38-P38,0)</f>
        <v>1750683.51909314</v>
      </c>
      <c r="R38" s="42" t="n">
        <f aca="false">MAX(P38-O38,0)</f>
        <v>0</v>
      </c>
      <c r="S38" s="42" t="n">
        <f aca="false">Q38*Inputs!$B$11</f>
        <v>350136.703818627</v>
      </c>
      <c r="T38" s="42" t="n">
        <f aca="false">O38-S38</f>
        <v>1400546.81527451</v>
      </c>
      <c r="U38" s="42" t="n">
        <f aca="false">U37+T38</f>
        <v>36711987.0580766</v>
      </c>
      <c r="V38" s="44" t="n">
        <f aca="false">1/(1+Inputs!$B$10)^(A38/12)</f>
        <v>0.665218980468384</v>
      </c>
      <c r="W38" s="42" t="n">
        <f aca="false">T38*V38</f>
        <v>931670.324555151</v>
      </c>
      <c r="X38" s="42" t="n">
        <f aca="false">X37+W38</f>
        <v>28454236.8372801</v>
      </c>
      <c r="Y38" s="46" t="n">
        <f aca="false">IF(U38&gt;=0,A38,"")</f>
        <v>35</v>
      </c>
      <c r="Z38" s="46" t="n">
        <f aca="false">IF(X38&gt;=0,A38,"")</f>
        <v>35</v>
      </c>
    </row>
    <row r="39" customFormat="false" ht="15" hidden="false" customHeight="false" outlineLevel="0" collapsed="false">
      <c r="A39" s="39" t="n">
        <v>36</v>
      </c>
      <c r="B39" s="40" t="n">
        <f aca="false">EDATE(Inputs!$B$8,A39-1)</f>
        <v>47239</v>
      </c>
      <c r="C39" s="39" t="n">
        <f aca="false">ROUNDUP(A39/12,0)</f>
        <v>3</v>
      </c>
      <c r="D39" s="39" t="n">
        <f aca="false">MOD(A39-1,12)+1</f>
        <v>12</v>
      </c>
      <c r="E39" s="41" t="n">
        <f aca="false">IF(A39&lt;Inputs!$B$9,0,MIN(1,(A39-Inputs!$B$9+1)/Inputs!$I$32))</f>
        <v>1</v>
      </c>
      <c r="F39" s="42" t="n">
        <f aca="false">Inputs!$B$14*Inputs!$B$13*Inputs!$I$23</f>
        <v>280</v>
      </c>
      <c r="G39" s="42" t="n">
        <f aca="false">F39*Inputs!$B$12*E39</f>
        <v>1599920</v>
      </c>
      <c r="H39" s="42" t="n">
        <f aca="false">INDEX(Inputs!$I$26:$K$26,1,C39)</f>
        <v>10813088898.7395</v>
      </c>
      <c r="I39" s="43" t="n">
        <f aca="false">INDEX(Inputs!$I$27:$K$27,1,C39)</f>
        <v>0.07</v>
      </c>
      <c r="J39" s="42" t="n">
        <f aca="false">H39*Inputs!$B$18*I39/12*E39</f>
        <v>630763.519093135</v>
      </c>
      <c r="K39" s="42" t="n">
        <f aca="false">G39+J39</f>
        <v>2230683.51909314</v>
      </c>
      <c r="L39" s="42" t="n">
        <f aca="false">IF(A39=1,Inputs!$I$29,0)</f>
        <v>0</v>
      </c>
      <c r="M39" s="42" t="n">
        <f aca="false">IF(A39&gt;=Inputs!$B$9,INDEX(Inputs!$I$30:$K$30,1,C39),0)</f>
        <v>480000</v>
      </c>
      <c r="N39" s="42" t="n">
        <f aca="false">L39+M39</f>
        <v>480000</v>
      </c>
      <c r="O39" s="42" t="n">
        <f aca="false">K39-N39</f>
        <v>1750683.51909314</v>
      </c>
      <c r="P39" s="42" t="n">
        <f aca="false">R38</f>
        <v>0</v>
      </c>
      <c r="Q39" s="42" t="n">
        <f aca="false">MAX(O39-P39,0)</f>
        <v>1750683.51909314</v>
      </c>
      <c r="R39" s="42" t="n">
        <f aca="false">MAX(P39-O39,0)</f>
        <v>0</v>
      </c>
      <c r="S39" s="42" t="n">
        <f aca="false">Q39*Inputs!$B$11</f>
        <v>350136.703818627</v>
      </c>
      <c r="T39" s="42" t="n">
        <f aca="false">O39-S39</f>
        <v>1400546.81527451</v>
      </c>
      <c r="U39" s="42" t="n">
        <f aca="false">U38+T39</f>
        <v>38112533.8733512</v>
      </c>
      <c r="V39" s="44" t="n">
        <f aca="false">1/(1+Inputs!$B$10)^(A39/12)</f>
        <v>0.657516232431988</v>
      </c>
      <c r="W39" s="42" t="n">
        <f aca="false">T39*V39</f>
        <v>920882.265323915</v>
      </c>
      <c r="X39" s="42" t="n">
        <f aca="false">X38+W39</f>
        <v>29375119.102604</v>
      </c>
      <c r="Y39" s="46" t="n">
        <f aca="false">IF(U39&gt;=0,A39,"")</f>
        <v>36</v>
      </c>
      <c r="Z39" s="46" t="n">
        <f aca="false">IF(X39&gt;=0,A39,"")</f>
        <v>36</v>
      </c>
    </row>
    <row r="41" customFormat="false" ht="15" hidden="false" customHeight="false" outlineLevel="0" collapsed="false">
      <c r="A41" s="47" t="s">
        <v>131</v>
      </c>
      <c r="B41" s="47"/>
      <c r="C41" s="47"/>
      <c r="D41" s="47"/>
      <c r="E41" s="47"/>
    </row>
    <row r="42" customFormat="false" ht="15" hidden="false" customHeight="false" outlineLevel="0" collapsed="false">
      <c r="A42" s="26" t="s">
        <v>74</v>
      </c>
      <c r="B42" s="26" t="s">
        <v>76</v>
      </c>
      <c r="C42" s="26" t="s">
        <v>77</v>
      </c>
      <c r="D42" s="26" t="s">
        <v>78</v>
      </c>
      <c r="E42" s="26" t="s">
        <v>132</v>
      </c>
    </row>
    <row r="43" customFormat="false" ht="15" hidden="false" customHeight="false" outlineLevel="0" collapsed="false">
      <c r="A43" s="13" t="s">
        <v>133</v>
      </c>
      <c r="B43" s="31" t="n">
        <f aca="false">SUM(K4:K15)</f>
        <v>18316054.0646213</v>
      </c>
      <c r="C43" s="31" t="n">
        <f aca="false">SUM(K16:K27)</f>
        <v>23786411.0479501</v>
      </c>
      <c r="D43" s="31" t="n">
        <f aca="false">SUM(K28:K39)</f>
        <v>26768202.2291176</v>
      </c>
      <c r="E43" s="31" t="n">
        <f aca="false">SUM(K4:K39)</f>
        <v>68870667.341689</v>
      </c>
    </row>
    <row r="44" customFormat="false" ht="23.85" hidden="false" customHeight="false" outlineLevel="0" collapsed="false">
      <c r="A44" s="13" t="s">
        <v>134</v>
      </c>
      <c r="B44" s="31" t="n">
        <f aca="false">SUM(N4:N15)</f>
        <v>9950000</v>
      </c>
      <c r="C44" s="31" t="n">
        <f aca="false">SUM(N16:N27)</f>
        <v>5520000</v>
      </c>
      <c r="D44" s="31" t="n">
        <f aca="false">SUM(N28:N39)</f>
        <v>5760000</v>
      </c>
      <c r="E44" s="31" t="n">
        <f aca="false">SUM(N4:N39)</f>
        <v>21230000</v>
      </c>
    </row>
    <row r="45" customFormat="false" ht="15" hidden="false" customHeight="false" outlineLevel="0" collapsed="false">
      <c r="A45" s="13" t="s">
        <v>135</v>
      </c>
      <c r="B45" s="31" t="n">
        <f aca="false">SUM(O4:O15)</f>
        <v>8366054.06462125</v>
      </c>
      <c r="C45" s="31" t="n">
        <f aca="false">SUM(O16:O27)</f>
        <v>18266411.0479501</v>
      </c>
      <c r="D45" s="31" t="n">
        <f aca="false">SUM(O28:O39)</f>
        <v>21008202.2291176</v>
      </c>
      <c r="E45" s="31" t="n">
        <f aca="false">SUM(O4:O39)</f>
        <v>47640667.3416889</v>
      </c>
    </row>
    <row r="46" customFormat="false" ht="15" hidden="false" customHeight="false" outlineLevel="0" collapsed="false">
      <c r="A46" s="13" t="s">
        <v>136</v>
      </c>
      <c r="B46" s="31" t="n">
        <f aca="false">SUM(S4:S15)</f>
        <v>1673210.81292425</v>
      </c>
      <c r="C46" s="31" t="n">
        <f aca="false">SUM(S16:S27)</f>
        <v>3653282.20959002</v>
      </c>
      <c r="D46" s="31" t="n">
        <f aca="false">SUM(S28:S39)</f>
        <v>4201640.44582353</v>
      </c>
      <c r="E46" s="31" t="n">
        <f aca="false">SUM(S4:S39)</f>
        <v>9528133.46833779</v>
      </c>
    </row>
    <row r="47" customFormat="false" ht="23.85" hidden="false" customHeight="false" outlineLevel="0" collapsed="false">
      <c r="A47" s="13" t="s">
        <v>137</v>
      </c>
      <c r="B47" s="31" t="n">
        <f aca="false">SUM(T4:T15)</f>
        <v>6692843.251697</v>
      </c>
      <c r="C47" s="31" t="n">
        <f aca="false">SUM(T16:T27)</f>
        <v>14613128.8383601</v>
      </c>
      <c r="D47" s="31" t="n">
        <f aca="false">SUM(T28:T39)</f>
        <v>16806561.7832941</v>
      </c>
      <c r="E47" s="31" t="n">
        <f aca="false">SUM(T4:T39)</f>
        <v>38112533.8733512</v>
      </c>
    </row>
    <row r="48" customFormat="false" ht="15" hidden="false" customHeight="false" outlineLevel="0" collapsed="false">
      <c r="A48" s="13" t="s">
        <v>138</v>
      </c>
      <c r="B48" s="31" t="n">
        <f aca="false">U15</f>
        <v>6692843.251697</v>
      </c>
      <c r="C48" s="31" t="n">
        <f aca="false">U27</f>
        <v>21305972.0900571</v>
      </c>
      <c r="D48" s="31" t="n">
        <f aca="false">U39</f>
        <v>38112533.8733512</v>
      </c>
      <c r="E48" s="31" t="n">
        <f aca="false">U39</f>
        <v>38112533.8733512</v>
      </c>
    </row>
    <row r="50" customFormat="false" ht="15" hidden="false" customHeight="false" outlineLevel="0" collapsed="false">
      <c r="A50" s="13" t="s">
        <v>139</v>
      </c>
      <c r="B50" s="48"/>
      <c r="C50" s="48"/>
      <c r="D50" s="48"/>
      <c r="E50" s="31" t="n">
        <f aca="false">SUM(W4:W39)</f>
        <v>29375119.102604</v>
      </c>
    </row>
    <row r="51" customFormat="false" ht="15" hidden="false" customHeight="false" outlineLevel="0" collapsed="false">
      <c r="A51" s="13" t="s">
        <v>140</v>
      </c>
      <c r="E51" s="49" t="n">
        <f aca="false">IFERROR((1+IRR(T4:T39))^12-1,"n/a")</f>
        <v>7.86309327766</v>
      </c>
    </row>
    <row r="52" customFormat="false" ht="15" hidden="false" customHeight="false" outlineLevel="0" collapsed="false">
      <c r="A52" s="13" t="s">
        <v>141</v>
      </c>
      <c r="E52" s="50" t="n">
        <f aca="false">IFERROR(SMALL(Y4:Y39,1),"&gt;36")</f>
        <v>6</v>
      </c>
    </row>
    <row r="53" customFormat="false" ht="23.85" hidden="false" customHeight="false" outlineLevel="0" collapsed="false">
      <c r="A53" s="13" t="s">
        <v>142</v>
      </c>
      <c r="E53" s="50" t="n">
        <f aca="false">IFERROR(SMALL(Z4:Z39,1),"&gt;36")</f>
        <v>7</v>
      </c>
    </row>
    <row r="54" customFormat="false" ht="23.85" hidden="false" customHeight="false" outlineLevel="0" collapsed="false">
      <c r="A54" s="13" t="s">
        <v>143</v>
      </c>
      <c r="E54" s="49" t="n">
        <f aca="false">E47/E44</f>
        <v>1.79522062521673</v>
      </c>
    </row>
    <row r="55" customFormat="false" ht="15" hidden="false" customHeight="false" outlineLevel="0" collapsed="false">
      <c r="A55" s="13" t="s">
        <v>144</v>
      </c>
      <c r="E55" s="31" t="n">
        <f aca="false">SUMPRODUCT(K4:K39,V4:V39)</f>
        <v>54771634.2822153</v>
      </c>
    </row>
    <row r="56" customFormat="false" ht="15" hidden="false" customHeight="false" outlineLevel="0" collapsed="false">
      <c r="A56" s="13" t="s">
        <v>145</v>
      </c>
      <c r="E56" s="31" t="n">
        <f aca="false">SUMPRODUCT(N4:N39,V4:V39)</f>
        <v>18002380.9990499</v>
      </c>
    </row>
    <row r="57" customFormat="false" ht="15" hidden="false" customHeight="false" outlineLevel="0" collapsed="false">
      <c r="A57" s="13" t="s">
        <v>146</v>
      </c>
      <c r="E57" s="51" t="n">
        <f aca="false">E55/E56</f>
        <v>3.04246612073736</v>
      </c>
    </row>
  </sheetData>
  <mergeCells count="3">
    <mergeCell ref="A1:Z1"/>
    <mergeCell ref="A2:Z2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36" t="s">
        <v>149</v>
      </c>
      <c r="B1" s="36"/>
      <c r="C1" s="36"/>
      <c r="D1" s="36"/>
      <c r="E1" s="36"/>
    </row>
    <row r="2" customFormat="false" ht="15" hidden="false" customHeight="false" outlineLevel="0" collapsed="false">
      <c r="A2" s="52" t="str">
        <f aca="false">"Активный сценарий: "&amp;Inputs!B4&amp;"   ·   денежные суммы в ₸ млн (кроме %, мес, x)"</f>
        <v>Активный сценарий: Реалистичный   ·   денежные суммы в ₸ млн (кроме %, мес, x)</v>
      </c>
    </row>
    <row r="3" customFormat="false" ht="15" hidden="false" customHeight="false" outlineLevel="0" collapsed="false">
      <c r="A3" s="53" t="s">
        <v>74</v>
      </c>
      <c r="B3" s="53" t="s">
        <v>76</v>
      </c>
      <c r="C3" s="53" t="s">
        <v>77</v>
      </c>
      <c r="D3" s="53" t="s">
        <v>78</v>
      </c>
      <c r="E3" s="53" t="s">
        <v>132</v>
      </c>
    </row>
    <row r="4" customFormat="false" ht="15" hidden="false" customHeight="false" outlineLevel="0" collapsed="false">
      <c r="A4" s="13" t="s">
        <v>150</v>
      </c>
      <c r="B4" s="54" t="n">
        <f aca="false">CHOOSE(Inputs!$B$5,Calc_Pess!B43,Calc_Base!B43,Calc_Opt!B43)</f>
        <v>13135561.9846951</v>
      </c>
      <c r="C4" s="54" t="n">
        <f aca="false">CHOOSE(Inputs!$B$5,Calc_Pess!C43,Calc_Base!C43,Calc_Opt!C43)</f>
        <v>19329646.0627876</v>
      </c>
      <c r="D4" s="54" t="n">
        <f aca="false">CHOOSE(Inputs!$B$5,Calc_Pess!D43,Calc_Base!D43,Calc_Opt!D43)</f>
        <v>20468364.7910421</v>
      </c>
      <c r="E4" s="54" t="n">
        <f aca="false">CHOOSE(Inputs!$B$5,Calc_Pess!E43,Calc_Base!E43,Calc_Opt!E43)</f>
        <v>52933572.8385248</v>
      </c>
    </row>
    <row r="5" customFormat="false" ht="15" hidden="false" customHeight="false" outlineLevel="0" collapsed="false">
      <c r="A5" s="13" t="s">
        <v>151</v>
      </c>
      <c r="B5" s="54" t="n">
        <f aca="false">CHOOSE(Inputs!$B$5,Calc_Pess!B44,Calc_Base!B44,Calc_Opt!B44)</f>
        <v>10500000</v>
      </c>
      <c r="C5" s="54" t="n">
        <f aca="false">CHOOSE(Inputs!$B$5,Calc_Pess!C44,Calc_Base!C44,Calc_Opt!C44)</f>
        <v>6240000</v>
      </c>
      <c r="D5" s="54" t="n">
        <f aca="false">CHOOSE(Inputs!$B$5,Calc_Pess!D44,Calc_Base!D44,Calc_Opt!D44)</f>
        <v>6600000</v>
      </c>
      <c r="E5" s="54" t="n">
        <f aca="false">CHOOSE(Inputs!$B$5,Calc_Pess!E44,Calc_Base!E44,Calc_Opt!E44)</f>
        <v>23340000</v>
      </c>
    </row>
    <row r="6" customFormat="false" ht="15" hidden="false" customHeight="false" outlineLevel="0" collapsed="false">
      <c r="A6" s="13" t="s">
        <v>152</v>
      </c>
      <c r="B6" s="54" t="n">
        <f aca="false">CHOOSE(Inputs!$B$5,Calc_Pess!B45,Calc_Base!B45,Calc_Opt!B45)</f>
        <v>2635561.9846951</v>
      </c>
      <c r="C6" s="54" t="n">
        <f aca="false">CHOOSE(Inputs!$B$5,Calc_Pess!C45,Calc_Base!C45,Calc_Opt!C45)</f>
        <v>13089646.0627876</v>
      </c>
      <c r="D6" s="54" t="n">
        <f aca="false">CHOOSE(Inputs!$B$5,Calc_Pess!D45,Calc_Base!D45,Calc_Opt!D45)</f>
        <v>13868364.7910421</v>
      </c>
      <c r="E6" s="54" t="n">
        <f aca="false">CHOOSE(Inputs!$B$5,Calc_Pess!E45,Calc_Base!E45,Calc_Opt!E45)</f>
        <v>29593572.8385248</v>
      </c>
    </row>
    <row r="7" customFormat="false" ht="15" hidden="false" customHeight="false" outlineLevel="0" collapsed="false">
      <c r="A7" s="13" t="s">
        <v>153</v>
      </c>
      <c r="B7" s="54" t="n">
        <f aca="false">CHOOSE(Inputs!$B$5,Calc_Pess!B46,Calc_Base!B46,Calc_Opt!B46)</f>
        <v>527112.396939021</v>
      </c>
      <c r="C7" s="54" t="n">
        <f aca="false">CHOOSE(Inputs!$B$5,Calc_Pess!C46,Calc_Base!C46,Calc_Opt!C46)</f>
        <v>2617929.21255753</v>
      </c>
      <c r="D7" s="54" t="n">
        <f aca="false">CHOOSE(Inputs!$B$5,Calc_Pess!D46,Calc_Base!D46,Calc_Opt!D46)</f>
        <v>2773672.95820841</v>
      </c>
      <c r="E7" s="54" t="n">
        <f aca="false">CHOOSE(Inputs!$B$5,Calc_Pess!E46,Calc_Base!E46,Calc_Opt!E46)</f>
        <v>5918714.56770496</v>
      </c>
    </row>
    <row r="8" customFormat="false" ht="15" hidden="false" customHeight="false" outlineLevel="0" collapsed="false">
      <c r="A8" s="13" t="s">
        <v>154</v>
      </c>
      <c r="B8" s="54" t="n">
        <f aca="false">CHOOSE(Inputs!$B$5,Calc_Pess!B47,Calc_Base!B47,Calc_Opt!B47)</f>
        <v>2108449.58775608</v>
      </c>
      <c r="C8" s="54" t="n">
        <f aca="false">CHOOSE(Inputs!$B$5,Calc_Pess!C47,Calc_Base!C47,Calc_Opt!C47)</f>
        <v>10471716.8502301</v>
      </c>
      <c r="D8" s="54" t="n">
        <f aca="false">CHOOSE(Inputs!$B$5,Calc_Pess!D47,Calc_Base!D47,Calc_Opt!D47)</f>
        <v>11094691.8328336</v>
      </c>
      <c r="E8" s="54" t="n">
        <f aca="false">CHOOSE(Inputs!$B$5,Calc_Pess!E47,Calc_Base!E47,Calc_Opt!E47)</f>
        <v>23674858.2708198</v>
      </c>
    </row>
    <row r="9" customFormat="false" ht="15" hidden="false" customHeight="false" outlineLevel="0" collapsed="false">
      <c r="A9" s="13" t="s">
        <v>155</v>
      </c>
      <c r="B9" s="54" t="n">
        <f aca="false">CHOOSE(Inputs!$B$5,Calc_Pess!B48,Calc_Base!B48,Calc_Opt!B48)</f>
        <v>2108449.58775608</v>
      </c>
      <c r="C9" s="54" t="n">
        <f aca="false">CHOOSE(Inputs!$B$5,Calc_Pess!C48,Calc_Base!C48,Calc_Opt!C48)</f>
        <v>12580166.4379862</v>
      </c>
      <c r="D9" s="54" t="n">
        <f aca="false">CHOOSE(Inputs!$B$5,Calc_Pess!D48,Calc_Base!D48,Calc_Opt!D48)</f>
        <v>23674858.2708198</v>
      </c>
      <c r="E9" s="54" t="n">
        <f aca="false">CHOOSE(Inputs!$B$5,Calc_Pess!E48,Calc_Base!E48,Calc_Opt!E48)</f>
        <v>23674858.2708198</v>
      </c>
    </row>
    <row r="11" customFormat="false" ht="15" hidden="false" customHeight="false" outlineLevel="0" collapsed="false">
      <c r="A11" s="13" t="s">
        <v>156</v>
      </c>
      <c r="E11" s="54" t="n">
        <f aca="false">CHOOSE(Inputs!$B$5,Calc_Pess!E50,Calc_Base!E50,Calc_Opt!E50)</f>
        <v>17716938.2182204</v>
      </c>
    </row>
    <row r="12" customFormat="false" ht="15" hidden="false" customHeight="false" outlineLevel="0" collapsed="false">
      <c r="A12" s="13" t="s">
        <v>140</v>
      </c>
      <c r="E12" s="20" t="n">
        <f aca="false">CHOOSE(Inputs!$B$5,Calc_Pess!E51,Calc_Base!E51,Calc_Opt!E51)</f>
        <v>2.91360481755173</v>
      </c>
    </row>
    <row r="13" customFormat="false" ht="15" hidden="false" customHeight="false" outlineLevel="0" collapsed="false">
      <c r="A13" s="13" t="s">
        <v>141</v>
      </c>
      <c r="E13" s="55" t="n">
        <f aca="false">CHOOSE(Inputs!$B$5,Calc_Pess!E52,Calc_Base!E52,Calc_Opt!E52)</f>
        <v>10</v>
      </c>
    </row>
    <row r="14" customFormat="false" ht="15" hidden="false" customHeight="false" outlineLevel="0" collapsed="false">
      <c r="A14" s="13" t="s">
        <v>142</v>
      </c>
      <c r="E14" s="55" t="n">
        <f aca="false">CHOOSE(Inputs!$B$5,Calc_Pess!E53,Calc_Base!E53,Calc_Opt!E53)</f>
        <v>10</v>
      </c>
    </row>
    <row r="15" customFormat="false" ht="15" hidden="false" customHeight="false" outlineLevel="0" collapsed="false">
      <c r="A15" s="13" t="s">
        <v>143</v>
      </c>
      <c r="E15" s="20" t="n">
        <f aca="false">CHOOSE(Inputs!$B$5,Calc_Pess!E54,Calc_Base!E54,Calc_Opt!E54)</f>
        <v>1.01434696961525</v>
      </c>
    </row>
    <row r="16" customFormat="false" ht="15" hidden="false" customHeight="false" outlineLevel="0" collapsed="false">
      <c r="A16" s="13" t="s">
        <v>157</v>
      </c>
      <c r="E16" s="54" t="n">
        <f aca="false">CHOOSE(Inputs!$B$5,Calc_Pess!E55,Calc_Base!E55,Calc_Opt!E55)</f>
        <v>41917703.1667238</v>
      </c>
    </row>
    <row r="17" customFormat="false" ht="15" hidden="false" customHeight="false" outlineLevel="0" collapsed="false">
      <c r="A17" s="13" t="s">
        <v>158</v>
      </c>
      <c r="E17" s="54" t="n">
        <f aca="false">CHOOSE(Inputs!$B$5,Calc_Pess!E56,Calc_Base!E56,Calc_Opt!E56)</f>
        <v>19679899.4460442</v>
      </c>
    </row>
    <row r="18" customFormat="false" ht="15" hidden="false" customHeight="false" outlineLevel="0" collapsed="false">
      <c r="A18" s="13" t="s">
        <v>146</v>
      </c>
      <c r="E18" s="56" t="n">
        <f aca="false">CHOOSE(Inputs!$B$5,Calc_Pess!E57,Calc_Base!E57,Calc_Opt!E57)</f>
        <v>2.12997547480607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36" t="s">
        <v>159</v>
      </c>
      <c r="B1" s="36"/>
      <c r="C1" s="36"/>
      <c r="D1" s="36"/>
    </row>
    <row r="2" customFormat="false" ht="15" hidden="false" customHeight="false" outlineLevel="0" collapsed="false">
      <c r="A2" s="37" t="s">
        <v>160</v>
      </c>
      <c r="B2" s="37"/>
      <c r="C2" s="37"/>
      <c r="D2" s="37"/>
    </row>
    <row r="3" customFormat="false" ht="15" hidden="false" customHeight="false" outlineLevel="0" collapsed="false">
      <c r="A3" s="53" t="s">
        <v>74</v>
      </c>
      <c r="B3" s="57" t="s">
        <v>34</v>
      </c>
      <c r="C3" s="58" t="s">
        <v>31</v>
      </c>
      <c r="D3" s="59" t="s">
        <v>35</v>
      </c>
    </row>
    <row r="4" customFormat="false" ht="15" hidden="false" customHeight="false" outlineLevel="0" collapsed="false">
      <c r="A4" s="13" t="s">
        <v>161</v>
      </c>
      <c r="B4" s="54" t="n">
        <f aca="false">Calc_Pess!E43</f>
        <v>40552703.973461</v>
      </c>
      <c r="C4" s="54" t="n">
        <f aca="false">Calc_Base!E43</f>
        <v>52933572.8385248</v>
      </c>
      <c r="D4" s="54" t="n">
        <f aca="false">Calc_Opt!E43</f>
        <v>68870667.341689</v>
      </c>
    </row>
    <row r="5" customFormat="false" ht="15" hidden="false" customHeight="false" outlineLevel="0" collapsed="false">
      <c r="A5" s="13" t="s">
        <v>162</v>
      </c>
      <c r="B5" s="54" t="n">
        <f aca="false">Calc_Pess!E44</f>
        <v>27560000</v>
      </c>
      <c r="C5" s="54" t="n">
        <f aca="false">Calc_Base!E44</f>
        <v>23340000</v>
      </c>
      <c r="D5" s="54" t="n">
        <f aca="false">Calc_Opt!E44</f>
        <v>21230000</v>
      </c>
    </row>
    <row r="6" customFormat="false" ht="15" hidden="false" customHeight="false" outlineLevel="0" collapsed="false">
      <c r="A6" s="13" t="s">
        <v>163</v>
      </c>
      <c r="B6" s="54" t="n">
        <f aca="false">Calc_Pess!E46</f>
        <v>2598540.79469219</v>
      </c>
      <c r="C6" s="54" t="n">
        <f aca="false">Calc_Base!E46</f>
        <v>5918714.56770496</v>
      </c>
      <c r="D6" s="54" t="n">
        <f aca="false">Calc_Opt!E46</f>
        <v>9528133.46833779</v>
      </c>
    </row>
    <row r="7" customFormat="false" ht="15" hidden="false" customHeight="false" outlineLevel="0" collapsed="false">
      <c r="A7" s="13" t="s">
        <v>164</v>
      </c>
      <c r="B7" s="54" t="n">
        <f aca="false">Calc_Pess!E47</f>
        <v>10394163.1787688</v>
      </c>
      <c r="C7" s="54" t="n">
        <f aca="false">Calc_Base!E47</f>
        <v>23674858.2708198</v>
      </c>
      <c r="D7" s="54" t="n">
        <f aca="false">Calc_Opt!E47</f>
        <v>38112533.8733512</v>
      </c>
    </row>
    <row r="8" customFormat="false" ht="15" hidden="false" customHeight="false" outlineLevel="0" collapsed="false">
      <c r="A8" s="13" t="s">
        <v>165</v>
      </c>
      <c r="B8" s="54" t="n">
        <f aca="false">Calc_Pess!B47</f>
        <v>-2652799.94836225</v>
      </c>
      <c r="C8" s="54" t="n">
        <f aca="false">Calc_Base!B47</f>
        <v>2108449.58775608</v>
      </c>
      <c r="D8" s="54" t="n">
        <f aca="false">Calc_Opt!B47</f>
        <v>6692843.251697</v>
      </c>
    </row>
    <row r="9" customFormat="false" ht="15" hidden="false" customHeight="false" outlineLevel="0" collapsed="false">
      <c r="A9" s="13" t="s">
        <v>166</v>
      </c>
      <c r="B9" s="54" t="n">
        <f aca="false">Calc_Pess!C47</f>
        <v>6882312.31030661</v>
      </c>
      <c r="C9" s="54" t="n">
        <f aca="false">Calc_Base!C47</f>
        <v>10471716.8502301</v>
      </c>
      <c r="D9" s="54" t="n">
        <f aca="false">Calc_Opt!C47</f>
        <v>14613128.8383601</v>
      </c>
    </row>
    <row r="10" customFormat="false" ht="15" hidden="false" customHeight="false" outlineLevel="0" collapsed="false">
      <c r="A10" s="13" t="s">
        <v>167</v>
      </c>
      <c r="B10" s="54" t="n">
        <f aca="false">Calc_Pess!D47</f>
        <v>6164650.81682441</v>
      </c>
      <c r="C10" s="54" t="n">
        <f aca="false">Calc_Base!D47</f>
        <v>11094691.8328336</v>
      </c>
      <c r="D10" s="54" t="n">
        <f aca="false">Calc_Opt!D47</f>
        <v>16806561.7832941</v>
      </c>
    </row>
    <row r="11" customFormat="false" ht="15" hidden="false" customHeight="false" outlineLevel="0" collapsed="false">
      <c r="A11" s="13" t="s">
        <v>168</v>
      </c>
      <c r="B11" s="54" t="n">
        <f aca="false">Calc_Pess!E50</f>
        <v>6973883.53858442</v>
      </c>
      <c r="C11" s="54" t="n">
        <f aca="false">Calc_Base!E50</f>
        <v>17716938.2182204</v>
      </c>
      <c r="D11" s="54" t="n">
        <f aca="false">Calc_Opt!E50</f>
        <v>29375119.102604</v>
      </c>
    </row>
    <row r="12" customFormat="false" ht="15" hidden="false" customHeight="false" outlineLevel="0" collapsed="false">
      <c r="A12" s="13" t="s">
        <v>140</v>
      </c>
      <c r="B12" s="20" t="n">
        <f aca="false">Calc_Pess!E51</f>
        <v>0.965466880645008</v>
      </c>
      <c r="C12" s="20" t="n">
        <f aca="false">Calc_Base!E51</f>
        <v>2.91360481755173</v>
      </c>
      <c r="D12" s="20" t="n">
        <f aca="false">Calc_Opt!E51</f>
        <v>7.86309327766</v>
      </c>
    </row>
    <row r="13" customFormat="false" ht="15" hidden="false" customHeight="false" outlineLevel="0" collapsed="false">
      <c r="A13" s="13" t="s">
        <v>141</v>
      </c>
      <c r="B13" s="55" t="n">
        <f aca="false">Calc_Pess!E52</f>
        <v>17</v>
      </c>
      <c r="C13" s="55" t="n">
        <f aca="false">Calc_Base!E52</f>
        <v>10</v>
      </c>
      <c r="D13" s="55" t="n">
        <f aca="false">Calc_Opt!E52</f>
        <v>6</v>
      </c>
    </row>
    <row r="14" customFormat="false" ht="15" hidden="false" customHeight="false" outlineLevel="0" collapsed="false">
      <c r="A14" s="13" t="s">
        <v>142</v>
      </c>
      <c r="B14" s="55" t="n">
        <f aca="false">Calc_Pess!E53</f>
        <v>18</v>
      </c>
      <c r="C14" s="55" t="n">
        <f aca="false">Calc_Base!E53</f>
        <v>10</v>
      </c>
      <c r="D14" s="55" t="n">
        <f aca="false">Calc_Opt!E53</f>
        <v>7</v>
      </c>
    </row>
    <row r="15" customFormat="false" ht="15" hidden="false" customHeight="false" outlineLevel="0" collapsed="false">
      <c r="A15" s="13" t="s">
        <v>169</v>
      </c>
      <c r="B15" s="20" t="n">
        <f aca="false">Calc_Pess!E54</f>
        <v>0.377146704599738</v>
      </c>
      <c r="C15" s="20" t="n">
        <f aca="false">Calc_Base!E54</f>
        <v>1.01434696961525</v>
      </c>
      <c r="D15" s="20" t="n">
        <f aca="false">Calc_Opt!E54</f>
        <v>1.79522062521673</v>
      </c>
    </row>
    <row r="16" customFormat="false" ht="15" hidden="false" customHeight="false" outlineLevel="0" collapsed="false">
      <c r="A16" s="13" t="s">
        <v>170</v>
      </c>
      <c r="B16" s="56" t="n">
        <f aca="false">Calc_Pess!E57</f>
        <v>1.38585666943567</v>
      </c>
      <c r="C16" s="56" t="n">
        <f aca="false">Calc_Base!E57</f>
        <v>2.12997547480607</v>
      </c>
      <c r="D16" s="56" t="n">
        <f aca="false">Calc_Opt!E57</f>
        <v>3.04246612073736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11"/>
  </cols>
  <sheetData>
    <row r="1" customFormat="false" ht="30" hidden="false" customHeight="true" outlineLevel="0" collapsed="false">
      <c r="A1" s="60" t="s">
        <v>171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customFormat="false" ht="15" hidden="false" customHeight="false" outlineLevel="0" collapsed="false">
      <c r="A2" s="61" t="str">
        <f aca="false">"Активный сценарий: "&amp;Inputs!B4&amp;"   ·   суммы в ₸ млн   ·   переключается на листе Inputs"</f>
        <v>Активный сценарий: Реалистичный   ·   суммы в ₸ млн   ·   переключается на листе Inputs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4" customFormat="false" ht="19.5" hidden="false" customHeight="true" outlineLevel="0" collapsed="false">
      <c r="A4" s="62" t="s">
        <v>172</v>
      </c>
      <c r="B4" s="62"/>
      <c r="C4" s="62"/>
      <c r="D4" s="62"/>
      <c r="E4" s="62" t="s">
        <v>173</v>
      </c>
      <c r="F4" s="62"/>
      <c r="G4" s="62"/>
      <c r="H4" s="62"/>
      <c r="I4" s="62" t="s">
        <v>169</v>
      </c>
      <c r="J4" s="62"/>
      <c r="K4" s="62"/>
      <c r="L4" s="62"/>
    </row>
    <row r="5" customFormat="false" ht="30" hidden="false" customHeight="true" outlineLevel="0" collapsed="false">
      <c r="A5" s="63" t="n">
        <f aca="false">CHOOSE(Inputs!$B$5,Calc_Pess!E47,Calc_Base!E47,Calc_Opt!E47)</f>
        <v>23674858.2708198</v>
      </c>
      <c r="B5" s="63"/>
      <c r="C5" s="63"/>
      <c r="D5" s="63"/>
      <c r="E5" s="63" t="n">
        <f aca="false">CHOOSE(Inputs!$B$5,Calc_Pess!E50,Calc_Base!E50,Calc_Opt!E50)</f>
        <v>17716938.2182204</v>
      </c>
      <c r="F5" s="63"/>
      <c r="G5" s="63"/>
      <c r="H5" s="63"/>
      <c r="I5" s="64" t="n">
        <f aca="false">CHOOSE(Inputs!$B$5,Calc_Pess!E54,Calc_Base!E54,Calc_Opt!E54)</f>
        <v>1.01434696961525</v>
      </c>
      <c r="J5" s="64"/>
      <c r="K5" s="64"/>
      <c r="L5" s="64"/>
    </row>
    <row r="7" customFormat="false" ht="19.5" hidden="false" customHeight="true" outlineLevel="0" collapsed="false">
      <c r="A7" s="65" t="s">
        <v>174</v>
      </c>
      <c r="B7" s="65"/>
      <c r="C7" s="65"/>
      <c r="D7" s="65" t="s">
        <v>175</v>
      </c>
      <c r="E7" s="65"/>
      <c r="F7" s="65"/>
      <c r="G7" s="65" t="s">
        <v>176</v>
      </c>
      <c r="H7" s="65"/>
      <c r="I7" s="65"/>
      <c r="J7" s="65" t="s">
        <v>177</v>
      </c>
      <c r="K7" s="65"/>
      <c r="L7" s="65"/>
    </row>
    <row r="8" customFormat="false" ht="30" hidden="false" customHeight="true" outlineLevel="0" collapsed="false">
      <c r="A8" s="66" t="n">
        <f aca="false">CHOOSE(Inputs!$B$5,Calc_Pess!E52,Calc_Base!E52,Calc_Opt!E52)</f>
        <v>10</v>
      </c>
      <c r="B8" s="66"/>
      <c r="C8" s="66"/>
      <c r="D8" s="66" t="n">
        <f aca="false">CHOOSE(Inputs!$B$5,Calc_Pess!E53,Calc_Base!E53,Calc_Opt!E53)</f>
        <v>10</v>
      </c>
      <c r="E8" s="66"/>
      <c r="F8" s="66"/>
      <c r="G8" s="63" t="n">
        <f aca="false">CHOOSE(Inputs!$B$5,Calc_Pess!E43,Calc_Base!E43,Calc_Opt!E43)</f>
        <v>52933572.8385248</v>
      </c>
      <c r="H8" s="63"/>
      <c r="I8" s="63"/>
      <c r="J8" s="63" t="n">
        <f aca="false">CHOOSE(Inputs!$B$5,Calc_Pess!E44,Calc_Base!E44,Calc_Opt!E44)</f>
        <v>23340000</v>
      </c>
      <c r="K8" s="63"/>
      <c r="L8" s="63"/>
    </row>
    <row r="10" customFormat="false" ht="19.5" hidden="false" customHeight="true" outlineLevel="0" collapsed="false">
      <c r="A10" s="67" t="s">
        <v>178</v>
      </c>
      <c r="B10" s="67"/>
      <c r="C10" s="67"/>
      <c r="D10" s="67"/>
      <c r="E10" s="67" t="s">
        <v>179</v>
      </c>
      <c r="F10" s="67"/>
      <c r="G10" s="67"/>
      <c r="H10" s="67"/>
      <c r="I10" s="67" t="s">
        <v>180</v>
      </c>
      <c r="J10" s="67"/>
      <c r="K10" s="67"/>
      <c r="L10" s="67"/>
    </row>
    <row r="11" customFormat="false" ht="30" hidden="false" customHeight="true" outlineLevel="0" collapsed="false">
      <c r="A11" s="63" t="n">
        <f aca="false">CHOOSE(Inputs!$B$5,Calc_Pess!B47,Calc_Base!B47,Calc_Opt!B47)</f>
        <v>2108449.58775608</v>
      </c>
      <c r="B11" s="63"/>
      <c r="C11" s="63"/>
      <c r="D11" s="63"/>
      <c r="E11" s="63" t="n">
        <f aca="false">CHOOSE(Inputs!$B$5,Calc_Pess!C47,Calc_Base!C47,Calc_Opt!C47)</f>
        <v>10471716.8502301</v>
      </c>
      <c r="F11" s="63"/>
      <c r="G11" s="63"/>
      <c r="H11" s="63"/>
      <c r="I11" s="63" t="n">
        <f aca="false">CHOOSE(Inputs!$B$5,Calc_Pess!D47,Calc_Base!D47,Calc_Opt!D47)</f>
        <v>11094691.8328336</v>
      </c>
      <c r="J11" s="63"/>
      <c r="K11" s="63"/>
      <c r="L11" s="63"/>
    </row>
    <row r="14" customFormat="false" ht="15" hidden="false" customHeight="false" outlineLevel="0" collapsed="false">
      <c r="A14" s="68" t="s">
        <v>181</v>
      </c>
    </row>
    <row r="15" customFormat="false" ht="15" hidden="false" customHeight="false" outlineLevel="0" collapsed="false">
      <c r="A15" s="69" t="s">
        <v>74</v>
      </c>
      <c r="B15" s="57" t="s">
        <v>182</v>
      </c>
      <c r="C15" s="58" t="s">
        <v>183</v>
      </c>
      <c r="D15" s="59" t="s">
        <v>184</v>
      </c>
    </row>
    <row r="16" customFormat="false" ht="15" hidden="false" customHeight="false" outlineLevel="0" collapsed="false">
      <c r="A16" s="13" t="s">
        <v>185</v>
      </c>
      <c r="B16" s="54" t="n">
        <f aca="false">Calc_Pess!E47</f>
        <v>10394163.1787688</v>
      </c>
      <c r="C16" s="54" t="n">
        <f aca="false">Calc_Base!E47</f>
        <v>23674858.2708198</v>
      </c>
      <c r="D16" s="54" t="n">
        <f aca="false">Calc_Opt!E47</f>
        <v>38112533.8733512</v>
      </c>
    </row>
    <row r="17" customFormat="false" ht="15" hidden="false" customHeight="false" outlineLevel="0" collapsed="false">
      <c r="A17" s="13" t="s">
        <v>168</v>
      </c>
      <c r="B17" s="54" t="n">
        <f aca="false">Calc_Pess!E50</f>
        <v>6973883.53858442</v>
      </c>
      <c r="C17" s="54" t="n">
        <f aca="false">Calc_Base!E50</f>
        <v>17716938.2182204</v>
      </c>
      <c r="D17" s="54" t="n">
        <f aca="false">Calc_Opt!E50</f>
        <v>29375119.102604</v>
      </c>
    </row>
    <row r="18" customFormat="false" ht="15" hidden="false" customHeight="false" outlineLevel="0" collapsed="false">
      <c r="A18" s="13" t="s">
        <v>186</v>
      </c>
      <c r="B18" s="20" t="n">
        <f aca="false">Calc_Pess!E54</f>
        <v>0.377146704599738</v>
      </c>
      <c r="C18" s="20" t="n">
        <f aca="false">Calc_Base!E54</f>
        <v>1.01434696961525</v>
      </c>
      <c r="D18" s="20" t="n">
        <f aca="false">Calc_Opt!E54</f>
        <v>1.79522062521673</v>
      </c>
    </row>
    <row r="19" customFormat="false" ht="15" hidden="false" customHeight="false" outlineLevel="0" collapsed="false">
      <c r="A19" s="13" t="s">
        <v>187</v>
      </c>
      <c r="B19" s="55" t="n">
        <f aca="false">Calc_Pess!E52</f>
        <v>17</v>
      </c>
      <c r="C19" s="55" t="n">
        <f aca="false">Calc_Base!E52</f>
        <v>10</v>
      </c>
      <c r="D19" s="55" t="n">
        <f aca="false">Calc_Opt!E52</f>
        <v>6</v>
      </c>
    </row>
  </sheetData>
  <mergeCells count="22">
    <mergeCell ref="A1:L1"/>
    <mergeCell ref="A2:L2"/>
    <mergeCell ref="A4:D4"/>
    <mergeCell ref="E4:H4"/>
    <mergeCell ref="I4:L4"/>
    <mergeCell ref="A5:D5"/>
    <mergeCell ref="E5:H5"/>
    <mergeCell ref="I5:L5"/>
    <mergeCell ref="A7:C7"/>
    <mergeCell ref="D7:F7"/>
    <mergeCell ref="G7:I7"/>
    <mergeCell ref="J7:L7"/>
    <mergeCell ref="A8:C8"/>
    <mergeCell ref="D8:F8"/>
    <mergeCell ref="G8:I8"/>
    <mergeCell ref="J8:L8"/>
    <mergeCell ref="A10:D10"/>
    <mergeCell ref="E10:H10"/>
    <mergeCell ref="I10:L10"/>
    <mergeCell ref="A11:D11"/>
    <mergeCell ref="E11:H11"/>
    <mergeCell ref="I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70" t="s">
        <v>188</v>
      </c>
    </row>
    <row r="3" customFormat="false" ht="15" hidden="false" customHeight="false" outlineLevel="0" collapsed="false">
      <c r="A3" s="53" t="s">
        <v>189</v>
      </c>
      <c r="B3" s="53" t="s">
        <v>190</v>
      </c>
      <c r="C3" s="53" t="s">
        <v>191</v>
      </c>
    </row>
    <row r="4" customFormat="false" ht="27.75" hidden="false" customHeight="true" outlineLevel="0" collapsed="false">
      <c r="A4" s="13" t="s">
        <v>192</v>
      </c>
      <c r="B4" s="71" t="s">
        <v>193</v>
      </c>
      <c r="C4" s="72" t="s">
        <v>194</v>
      </c>
    </row>
    <row r="5" customFormat="false" ht="27.75" hidden="false" customHeight="true" outlineLevel="0" collapsed="false">
      <c r="A5" s="13" t="s">
        <v>195</v>
      </c>
      <c r="B5" s="71" t="s">
        <v>193</v>
      </c>
      <c r="C5" s="72" t="s">
        <v>196</v>
      </c>
    </row>
    <row r="6" customFormat="false" ht="27.75" hidden="false" customHeight="true" outlineLevel="0" collapsed="false">
      <c r="A6" s="13" t="s">
        <v>197</v>
      </c>
      <c r="B6" s="71" t="str">
        <f aca="false">"Активен: "&amp;Inputs!B4</f>
        <v>Активен: Реалистичный</v>
      </c>
      <c r="C6" s="72" t="s">
        <v>198</v>
      </c>
    </row>
    <row r="7" customFormat="false" ht="27.75" hidden="false" customHeight="true" outlineLevel="0" collapsed="false">
      <c r="A7" s="13" t="s">
        <v>199</v>
      </c>
      <c r="B7" s="71" t="str">
        <f aca="false">IF(CHOOSE(Inputs!$B$5,Calc_Pess!E47,Calc_Base!E47,Calc_Opt!E47)&gt;0,"OK","ОТРИЦАТЕЛЬНО")</f>
        <v>OK</v>
      </c>
      <c r="C7" s="72" t="s">
        <v>200</v>
      </c>
    </row>
    <row r="8" customFormat="false" ht="27.75" hidden="false" customHeight="true" outlineLevel="0" collapsed="false">
      <c r="A8" s="13" t="s">
        <v>201</v>
      </c>
      <c r="B8" s="71" t="str">
        <f aca="false">IF(CHOOSE(Inputs!$B$5,Calc_Pess!E50,Calc_Base!E50,Calc_Opt!E50)&gt;0,"OK","NPV&lt;0")</f>
        <v>OK</v>
      </c>
      <c r="C8" s="72" t="s">
        <v>202</v>
      </c>
    </row>
    <row r="9" customFormat="false" ht="27.75" hidden="false" customHeight="true" outlineLevel="0" collapsed="false">
      <c r="A9" s="13" t="s">
        <v>203</v>
      </c>
      <c r="B9" s="71" t="str">
        <f aca="false">IF(ISNUMBER(CHOOSE(Inputs!$B$5,Calc_Pess!E52,Calc_Base!E52,Calc_Opt!E52)),"OK","&gt; 36 мес")</f>
        <v>OK</v>
      </c>
      <c r="C9" s="72" t="s">
        <v>204</v>
      </c>
    </row>
    <row r="10" customFormat="false" ht="27.75" hidden="false" customHeight="true" outlineLevel="0" collapsed="false">
      <c r="A10" s="13" t="s">
        <v>205</v>
      </c>
      <c r="B10" s="71" t="s">
        <v>193</v>
      </c>
      <c r="C10" s="72" t="s">
        <v>206</v>
      </c>
    </row>
    <row r="11" customFormat="false" ht="27.75" hidden="false" customHeight="true" outlineLevel="0" collapsed="false">
      <c r="A11" s="13" t="s">
        <v>207</v>
      </c>
      <c r="B11" s="71" t="str">
        <f aca="false">IF(SUM(Calc_Base!K4)=0,"OK","ПРОВЕРИТЬ")</f>
        <v>OK</v>
      </c>
      <c r="C11" s="72" t="s">
        <v>208</v>
      </c>
    </row>
    <row r="12" customFormat="false" ht="27.75" hidden="false" customHeight="true" outlineLevel="0" collapsed="false">
      <c r="A12" s="13" t="s">
        <v>209</v>
      </c>
      <c r="B12" s="71" t="s">
        <v>193</v>
      </c>
      <c r="C12" s="72" t="s">
        <v>210</v>
      </c>
    </row>
    <row r="13" customFormat="false" ht="27.75" hidden="false" customHeight="true" outlineLevel="0" collapsed="false">
      <c r="A13" s="13" t="s">
        <v>211</v>
      </c>
      <c r="B13" s="71" t="str">
        <f aca="false">IF(AND(Calc_Base!F4=Calc_Base!F16,Calc_Base!F16=Calc_Base!F28),"OK","РАСТУТ")</f>
        <v>OK</v>
      </c>
      <c r="C13" s="72" t="s">
        <v>212</v>
      </c>
    </row>
    <row r="14" customFormat="false" ht="27.75" hidden="false" customHeight="true" outlineLevel="0" collapsed="false">
      <c r="A14" s="13" t="s">
        <v>213</v>
      </c>
      <c r="B14" s="71" t="s">
        <v>193</v>
      </c>
      <c r="C14" s="72" t="s">
        <v>214</v>
      </c>
    </row>
    <row r="15" customFormat="false" ht="27.75" hidden="false" customHeight="true" outlineLevel="0" collapsed="false">
      <c r="A15" s="13" t="s">
        <v>215</v>
      </c>
      <c r="B15" s="71" t="str">
        <f aca="false">IF(Calc_Base!H4&gt;Inputs!$B$16,"OK","ПРОВЕРИТЬ")</f>
        <v>OK</v>
      </c>
      <c r="C15" s="72" t="s">
        <v>216</v>
      </c>
    </row>
    <row r="16" customFormat="false" ht="27.75" hidden="false" customHeight="true" outlineLevel="0" collapsed="false">
      <c r="A16" s="13" t="s">
        <v>217</v>
      </c>
      <c r="B16" s="71" t="str">
        <f aca="false">IF(AND(ISNUMBER(Calc_Pess!E47),ISNUMBER(Calc_Base!E47),ISNUMBER(Calc_Opt!E47),ISNUMBER(Calc_Base!E50)),"OK","ОШИБКА")</f>
        <v>OK</v>
      </c>
      <c r="C16" s="72" t="s">
        <v>218</v>
      </c>
    </row>
    <row r="17" customFormat="false" ht="27.75" hidden="false" customHeight="true" outlineLevel="0" collapsed="false">
      <c r="A17" s="13" t="s">
        <v>219</v>
      </c>
      <c r="B17" s="71" t="str">
        <f aca="false">"Выгоды Г1 (реал) = "&amp;TEXT(Calc_Base!B43/1000000,"#,##0.0")&amp;" млн ₸ (труд+риск, с учётом адаптии)"</f>
        <v>Выгоды Г1 (реал) = 13.1 млн ₸ (труд+риск, с учётом адаптии)</v>
      </c>
      <c r="C17" s="72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42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70" t="s">
        <v>221</v>
      </c>
    </row>
    <row r="3" customFormat="false" ht="15" hidden="false" customHeight="false" outlineLevel="0" collapsed="false">
      <c r="A3" s="53" t="s">
        <v>222</v>
      </c>
      <c r="B3" s="53" t="s">
        <v>223</v>
      </c>
      <c r="C3" s="53" t="s">
        <v>224</v>
      </c>
      <c r="D3" s="53" t="s">
        <v>225</v>
      </c>
    </row>
    <row r="4" customFormat="false" ht="30" hidden="false" customHeight="true" outlineLevel="0" collapsed="false">
      <c r="A4" s="73" t="s">
        <v>226</v>
      </c>
      <c r="B4" s="73" t="s">
        <v>227</v>
      </c>
      <c r="C4" s="73" t="s">
        <v>228</v>
      </c>
      <c r="D4" s="73" t="s">
        <v>229</v>
      </c>
    </row>
    <row r="5" customFormat="false" ht="30" hidden="false" customHeight="true" outlineLevel="0" collapsed="false">
      <c r="A5" s="73" t="s">
        <v>230</v>
      </c>
      <c r="B5" s="73" t="s">
        <v>231</v>
      </c>
      <c r="C5" s="73" t="s">
        <v>232</v>
      </c>
      <c r="D5" s="73" t="s">
        <v>233</v>
      </c>
    </row>
    <row r="6" customFormat="false" ht="30" hidden="false" customHeight="true" outlineLevel="0" collapsed="false">
      <c r="A6" s="73" t="s">
        <v>234</v>
      </c>
      <c r="B6" s="73" t="s">
        <v>235</v>
      </c>
      <c r="C6" s="73" t="s">
        <v>236</v>
      </c>
      <c r="D6" s="73" t="s">
        <v>237</v>
      </c>
    </row>
    <row r="7" customFormat="false" ht="30" hidden="false" customHeight="true" outlineLevel="0" collapsed="false">
      <c r="A7" s="73" t="s">
        <v>238</v>
      </c>
      <c r="B7" s="73" t="s">
        <v>239</v>
      </c>
      <c r="C7" s="73" t="s">
        <v>240</v>
      </c>
      <c r="D7" s="73" t="s">
        <v>241</v>
      </c>
    </row>
    <row r="8" customFormat="false" ht="30" hidden="false" customHeight="true" outlineLevel="0" collapsed="false">
      <c r="A8" s="73" t="s">
        <v>242</v>
      </c>
      <c r="B8" s="73" t="s">
        <v>243</v>
      </c>
      <c r="C8" s="73" t="s">
        <v>240</v>
      </c>
      <c r="D8" s="73" t="s">
        <v>244</v>
      </c>
    </row>
    <row r="9" customFormat="false" ht="30" hidden="false" customHeight="true" outlineLevel="0" collapsed="false">
      <c r="A9" s="73" t="s">
        <v>245</v>
      </c>
      <c r="B9" s="73" t="s">
        <v>246</v>
      </c>
      <c r="C9" s="73" t="s">
        <v>247</v>
      </c>
      <c r="D9" s="73" t="s">
        <v>248</v>
      </c>
    </row>
    <row r="10" customFormat="false" ht="30" hidden="false" customHeight="true" outlineLevel="0" collapsed="false">
      <c r="A10" s="73" t="s">
        <v>249</v>
      </c>
      <c r="B10" s="73" t="s">
        <v>250</v>
      </c>
      <c r="C10" s="73" t="s">
        <v>240</v>
      </c>
      <c r="D10" s="73" t="s">
        <v>251</v>
      </c>
    </row>
    <row r="11" customFormat="false" ht="30" hidden="false" customHeight="true" outlineLevel="0" collapsed="false">
      <c r="A11" s="73" t="s">
        <v>252</v>
      </c>
      <c r="B11" s="73" t="s">
        <v>253</v>
      </c>
      <c r="C11" s="73" t="s">
        <v>240</v>
      </c>
      <c r="D11" s="73" t="s">
        <v>254</v>
      </c>
    </row>
    <row r="12" customFormat="false" ht="30" hidden="false" customHeight="true" outlineLevel="0" collapsed="false">
      <c r="A12" s="73" t="s">
        <v>255</v>
      </c>
      <c r="B12" s="73" t="s">
        <v>256</v>
      </c>
      <c r="C12" s="73" t="s">
        <v>240</v>
      </c>
      <c r="D12" s="73" t="s">
        <v>257</v>
      </c>
    </row>
    <row r="13" customFormat="false" ht="30" hidden="false" customHeight="true" outlineLevel="0" collapsed="false">
      <c r="A13" s="73" t="s">
        <v>258</v>
      </c>
      <c r="B13" s="73" t="s">
        <v>259</v>
      </c>
      <c r="C13" s="73" t="s">
        <v>260</v>
      </c>
      <c r="D13" s="73" t="s">
        <v>261</v>
      </c>
    </row>
    <row r="14" customFormat="false" ht="30" hidden="false" customHeight="true" outlineLevel="0" collapsed="false">
      <c r="A14" s="73" t="s">
        <v>262</v>
      </c>
      <c r="B14" s="73" t="s">
        <v>263</v>
      </c>
      <c r="C14" s="73" t="s">
        <v>264</v>
      </c>
      <c r="D14" s="73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2026-05-28T19:26:28Z</dcterms:created>
  <dc:creator>openpyxl</dc:creator>
  <dc:description/>
  <dc:language>en-US</dc:language>
  <cp:lastModifiedBy/>
  <dcterms:modified xsi:type="dcterms:W3CDTF">2026-05-28T19:26:29Z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